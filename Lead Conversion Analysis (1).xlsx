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44AE0779-1C2B-4070-9365-F0F357A5D4F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onthly Revenue Analysis" sheetId="4" r:id="rId1"/>
    <sheet name="Lead Conversion Rate" sheetId="5" r:id="rId2"/>
    <sheet name="Pipeline Analysis" sheetId="6" r:id="rId3"/>
    <sheet name="Rep Analysis" sheetId="7" r:id="rId4"/>
    <sheet name="Risk &amp; Opportunities" sheetId="8" r:id="rId5"/>
    <sheet name="Sales Cycle By Sourc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  <c r="E6" i="9"/>
  <c r="D6" i="9"/>
  <c r="C6" i="9"/>
  <c r="B6" i="9"/>
  <c r="F5" i="9"/>
  <c r="F4" i="9"/>
  <c r="F3" i="9"/>
  <c r="F2" i="9"/>
  <c r="K11" i="8"/>
  <c r="K10" i="8"/>
  <c r="K9" i="8"/>
  <c r="K8" i="8"/>
  <c r="K7" i="8"/>
  <c r="K6" i="8"/>
  <c r="K5" i="8"/>
  <c r="K4" i="8"/>
  <c r="K3" i="8"/>
  <c r="K2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G5" i="8"/>
  <c r="E5" i="8"/>
  <c r="C5" i="8"/>
  <c r="A5" i="8"/>
  <c r="G11" i="7"/>
  <c r="G10" i="7"/>
  <c r="G9" i="7"/>
  <c r="G8" i="7"/>
  <c r="G7" i="7"/>
  <c r="G6" i="7"/>
  <c r="G5" i="7"/>
  <c r="G4" i="7"/>
  <c r="G3" i="7"/>
  <c r="G2" i="7"/>
</calcChain>
</file>

<file path=xl/sharedStrings.xml><?xml version="1.0" encoding="utf-8"?>
<sst xmlns="http://schemas.openxmlformats.org/spreadsheetml/2006/main" count="457" uniqueCount="79">
  <si>
    <t>Month</t>
  </si>
  <si>
    <t>Deals Closed</t>
  </si>
  <si>
    <t>Total Revenue</t>
  </si>
  <si>
    <t>Running Total</t>
  </si>
  <si>
    <t>Source</t>
  </si>
  <si>
    <t>Total Leads</t>
  </si>
  <si>
    <t>Converted Leads</t>
  </si>
  <si>
    <t>Conversion Rate</t>
  </si>
  <si>
    <t>Outbound</t>
  </si>
  <si>
    <t>Events</t>
  </si>
  <si>
    <t>Referral</t>
  </si>
  <si>
    <t>Inbound Marketing</t>
  </si>
  <si>
    <t>Conversion Rate (%)</t>
  </si>
  <si>
    <t>Stage</t>
  </si>
  <si>
    <t>Total Opportunities</t>
  </si>
  <si>
    <t>Total Amount</t>
  </si>
  <si>
    <t>Avg. Deal Size</t>
  </si>
  <si>
    <t>Pipeline Value ($)</t>
  </si>
  <si>
    <t>Opportunities</t>
  </si>
  <si>
    <t>Prospecting</t>
  </si>
  <si>
    <t>Qualification</t>
  </si>
  <si>
    <t>Proposal</t>
  </si>
  <si>
    <t>Negotiation</t>
  </si>
  <si>
    <t>Closed Won</t>
  </si>
  <si>
    <t>Closed Lost</t>
  </si>
  <si>
    <t>Avg. Deal Size ($)</t>
  </si>
  <si>
    <t>Rank</t>
  </si>
  <si>
    <t>Rep Name</t>
  </si>
  <si>
    <t>Deals Won</t>
  </si>
  <si>
    <t>Deals Lost</t>
  </si>
  <si>
    <t>Win Rate</t>
  </si>
  <si>
    <t>Rep</t>
  </si>
  <si>
    <t>Total Revenue ($)</t>
  </si>
  <si>
    <t>Win Rate (%)</t>
  </si>
  <si>
    <t>Emily Rodriguez</t>
  </si>
  <si>
    <t>E. Rodriguez</t>
  </si>
  <si>
    <t>Michael Torres</t>
  </si>
  <si>
    <t>M. Torres</t>
  </si>
  <si>
    <t>Lisa Thompson</t>
  </si>
  <si>
    <t>L. Thompson</t>
  </si>
  <si>
    <t>James Anderson</t>
  </si>
  <si>
    <t>J. Anderson</t>
  </si>
  <si>
    <t>David Kim</t>
  </si>
  <si>
    <t>D. Kim</t>
  </si>
  <si>
    <t>Christopher Lee</t>
  </si>
  <si>
    <t>C. Lee</t>
  </si>
  <si>
    <t>Amanda Davis</t>
  </si>
  <si>
    <t>A. Davis</t>
  </si>
  <si>
    <t>Robert Martinez</t>
  </si>
  <si>
    <t>R. Martinez</t>
  </si>
  <si>
    <t>Sarah Chen</t>
  </si>
  <si>
    <t>S. Chen</t>
  </si>
  <si>
    <t>Jessica Williams</t>
  </si>
  <si>
    <t>J. Williams</t>
  </si>
  <si>
    <t>RISK &amp; OPPORTUNITIES DASHBOARD</t>
  </si>
  <si>
    <t>$ At Risk</t>
  </si>
  <si>
    <t>All deals open 30+ days requiring attention</t>
  </si>
  <si>
    <t>Total At-Risk Deals</t>
  </si>
  <si>
    <t>Total $ At Risk</t>
  </si>
  <si>
    <t>Avg. Days Open</t>
  </si>
  <si>
    <t># Deals</t>
  </si>
  <si>
    <t>Opp ID</t>
  </si>
  <si>
    <t>Rep ID</t>
  </si>
  <si>
    <t>Account ID</t>
  </si>
  <si>
    <t>Amount</t>
  </si>
  <si>
    <t>Probability</t>
  </si>
  <si>
    <t>Days Open</t>
  </si>
  <si>
    <t>Risk Category</t>
  </si>
  <si>
    <t>Deal open for 30 + days need attention</t>
  </si>
  <si>
    <t>Lead Source</t>
  </si>
  <si>
    <t>Max Cycle (Days)</t>
  </si>
  <si>
    <t>Min Cycle (Days)</t>
  </si>
  <si>
    <t>Avg Cycle (Days)</t>
  </si>
  <si>
    <t>Total Sales</t>
  </si>
  <si>
    <t>Cycle Range (Days)</t>
  </si>
  <si>
    <t>Min Cycle</t>
  </si>
  <si>
    <t>Avg Cycle</t>
  </si>
  <si>
    <t>Max Cycle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</si>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</sst>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mmm\ yyyy"/>
    <numFmt numFmtId="166" formatCode="&quot;$&quot;#,##0"/>
    <numFmt numFmtId="167" formatCode="0.0&quot;%&quot;"/>
    <numFmt numFmtId="168" formatCode="0&quot;%&quot;"/>
    <numFmt numFmtId="169" formatCode="0.0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Aptos"/>
    </font>
    <font>
      <sz val="11"/>
      <color rgb="FF1B3A4B"/>
      <name val="Aptos"/>
    </font>
    <font>
      <b/>
      <sz val="16"/>
      <color rgb="FF1B3A4B"/>
      <name val="Aptos"/>
    </font>
    <font>
      <i/>
      <sz val="10"/>
      <color rgb="FF666666"/>
      <name val="Aptos"/>
    </font>
    <font>
      <b/>
      <sz val="10"/>
      <color rgb="FFFFFFFF"/>
      <name val="Aptos"/>
    </font>
    <font>
      <b/>
      <sz val="18"/>
      <color rgb="FF1B3A4B"/>
      <name val="Aptos"/>
    </font>
    <font>
      <sz val="10"/>
      <color rgb="FF1B3A4B"/>
      <name val="Aptos"/>
    </font>
    <font>
      <b/>
      <sz val="10"/>
      <color rgb="FF1B3A4B"/>
      <name val="Aptos"/>
    </font>
  </fonts>
  <fills count="6">
    <fill>
      <patternFill patternType="none"/>
    </fill>
    <fill>
      <patternFill patternType="gray125"/>
    </fill>
    <fill>
      <patternFill patternType="solid">
        <fgColor rgb="FF1B3A4B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8B8B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rgb="FF1B3A4B"/>
      </top>
      <bottom/>
      <diagonal/>
    </border>
    <border>
      <left/>
      <right/>
      <top style="medium">
        <color rgb="FF1B3A4B"/>
      </top>
      <bottom style="medium">
        <color rgb="FF1B3A4B"/>
      </bottom>
      <diagonal/>
    </border>
    <border>
      <left style="medium">
        <color rgb="FF1B3A4B"/>
      </left>
      <right/>
      <top style="medium">
        <color rgb="FF1B3A4B"/>
      </top>
      <bottom/>
      <diagonal/>
    </border>
    <border>
      <left/>
      <right style="medium">
        <color rgb="FF1B3A4B"/>
      </right>
      <top style="medium">
        <color rgb="FF1B3A4B"/>
      </top>
      <bottom/>
      <diagonal/>
    </border>
    <border>
      <left style="thin">
        <color rgb="FFD0D8E0"/>
      </left>
      <right/>
      <top style="medium">
        <color rgb="FF1B3A4B"/>
      </top>
      <bottom/>
      <diagonal/>
    </border>
    <border>
      <left/>
      <right style="thin">
        <color rgb="FFD0D8E0"/>
      </right>
      <top style="medium">
        <color rgb="FF1B3A4B"/>
      </top>
      <bottom/>
      <diagonal/>
    </border>
    <border>
      <left style="thin">
        <color rgb="FFD0D8E0"/>
      </left>
      <right/>
      <top style="thin">
        <color rgb="FFD0D8E0"/>
      </top>
      <bottom style="medium">
        <color rgb="FF1B3A4B"/>
      </bottom>
      <diagonal/>
    </border>
    <border>
      <left/>
      <right/>
      <top style="thin">
        <color rgb="FFD0D8E0"/>
      </top>
      <bottom style="medium">
        <color rgb="FF1B3A4B"/>
      </bottom>
      <diagonal/>
    </border>
    <border>
      <left/>
      <right style="thin">
        <color rgb="FFD0D8E0"/>
      </right>
      <top style="thin">
        <color rgb="FFD0D8E0"/>
      </top>
      <bottom style="medium">
        <color rgb="FF1B3A4B"/>
      </bottom>
      <diagonal/>
    </border>
    <border>
      <left style="thin">
        <color rgb="FFD0D8E0"/>
      </left>
      <right/>
      <top/>
      <bottom style="thin">
        <color rgb="FFD0D8E0"/>
      </bottom>
      <diagonal/>
    </border>
    <border>
      <left/>
      <right/>
      <top/>
      <bottom style="thin">
        <color rgb="FFD0D8E0"/>
      </bottom>
      <diagonal/>
    </border>
    <border>
      <left/>
      <right style="thin">
        <color rgb="FFD0D8E0"/>
      </right>
      <top/>
      <bottom style="thin">
        <color rgb="FFD0D8E0"/>
      </bottom>
      <diagonal/>
    </border>
    <border>
      <left style="thin">
        <color rgb="FFD0D8E0"/>
      </left>
      <right/>
      <top/>
      <bottom/>
      <diagonal/>
    </border>
    <border>
      <left/>
      <right style="thin">
        <color rgb="FFD0D8E0"/>
      </right>
      <top/>
      <bottom/>
      <diagonal/>
    </border>
    <border>
      <left style="thin">
        <color rgb="FFD0D8E0"/>
      </left>
      <right/>
      <top style="thin">
        <color rgb="FFD0D8E0"/>
      </top>
      <bottom/>
      <diagonal/>
    </border>
    <border>
      <left/>
      <right/>
      <top style="thin">
        <color rgb="FFD0D8E0"/>
      </top>
      <bottom/>
      <diagonal/>
    </border>
    <border>
      <left/>
      <right style="thin">
        <color rgb="FFD0D8E0"/>
      </right>
      <top style="thin">
        <color rgb="FFD0D8E0"/>
      </top>
      <bottom/>
      <diagonal/>
    </border>
    <border>
      <left style="thin">
        <color rgb="FFD0D8E0"/>
      </left>
      <right/>
      <top/>
      <bottom style="medium">
        <color rgb="FF1B3A4B"/>
      </bottom>
      <diagonal/>
    </border>
    <border>
      <left/>
      <right/>
      <top/>
      <bottom style="medium">
        <color rgb="FF1B3A4B"/>
      </bottom>
      <diagonal/>
    </border>
    <border>
      <left/>
      <right style="thin">
        <color rgb="FFD0D8E0"/>
      </right>
      <top/>
      <bottom style="medium">
        <color rgb="FF1B3A4B"/>
      </bottom>
      <diagonal/>
    </border>
    <border>
      <left style="thin">
        <color rgb="FFD0D8E0"/>
      </left>
      <right/>
      <top style="medium">
        <color rgb="FF1B3A4B"/>
      </top>
      <bottom style="medium">
        <color rgb="FF1B3A4B"/>
      </bottom>
      <diagonal/>
    </border>
    <border>
      <left style="thin">
        <color rgb="FFD0D8E0"/>
      </left>
      <right style="thin">
        <color rgb="FFD0D8E0"/>
      </right>
      <top style="medium">
        <color rgb="FF1B3A4B"/>
      </top>
      <bottom style="medium">
        <color rgb="FF1B3A4B"/>
      </bottom>
      <diagonal/>
    </border>
    <border>
      <left style="thin">
        <color rgb="FFD0D8E0"/>
      </left>
      <right style="thin">
        <color rgb="FFD0D8E0"/>
      </right>
      <top style="medium">
        <color rgb="FF1B3A4B"/>
      </top>
      <bottom/>
      <diagonal/>
    </border>
    <border>
      <left style="thin">
        <color rgb="FFD0D8E0"/>
      </left>
      <right style="thin">
        <color rgb="FFD0D8E0"/>
      </right>
      <top style="thin">
        <color rgb="FFD0D8E0"/>
      </top>
      <bottom/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6" fontId="4" fillId="4" borderId="8" xfId="0" applyNumberFormat="1" applyFont="1" applyFill="1" applyBorder="1" applyAlignment="1">
      <alignment horizontal="center" vertical="center"/>
    </xf>
    <xf numFmtId="166" fontId="4" fillId="4" borderId="9" xfId="0" applyNumberFormat="1" applyFont="1" applyFill="1" applyBorder="1" applyAlignment="1">
      <alignment horizontal="center" vertical="center"/>
    </xf>
    <xf numFmtId="165" fontId="4" fillId="3" borderId="13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center" vertical="center"/>
    </xf>
    <xf numFmtId="166" fontId="4" fillId="3" borderId="14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66" fontId="4" fillId="4" borderId="16" xfId="0" applyNumberFormat="1" applyFont="1" applyFill="1" applyBorder="1" applyAlignment="1">
      <alignment horizontal="center" vertical="center"/>
    </xf>
    <xf numFmtId="166" fontId="4" fillId="4" borderId="17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66" fontId="4" fillId="3" borderId="16" xfId="0" applyNumberFormat="1" applyFont="1" applyFill="1" applyBorder="1" applyAlignment="1">
      <alignment horizontal="center" vertical="center"/>
    </xf>
    <xf numFmtId="166" fontId="4" fillId="3" borderId="17" xfId="0" applyNumberFormat="1" applyFont="1" applyFill="1" applyBorder="1" applyAlignment="1">
      <alignment horizontal="center" vertical="center"/>
    </xf>
    <xf numFmtId="165" fontId="4" fillId="4" borderId="18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166" fontId="4" fillId="4" borderId="19" xfId="0" applyNumberFormat="1" applyFont="1" applyFill="1" applyBorder="1" applyAlignment="1">
      <alignment horizontal="center" vertical="center"/>
    </xf>
    <xf numFmtId="166" fontId="4" fillId="4" borderId="20" xfId="0" applyNumberFormat="1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66" fontId="4" fillId="4" borderId="0" xfId="0" applyNumberFormat="1" applyFont="1" applyFill="1" applyBorder="1" applyAlignment="1">
      <alignment horizontal="center" vertical="center"/>
    </xf>
    <xf numFmtId="166" fontId="4" fillId="4" borderId="1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3" fontId="4" fillId="3" borderId="16" xfId="0" applyNumberFormat="1" applyFont="1" applyFill="1" applyBorder="1" applyAlignment="1">
      <alignment horizontal="center" vertical="center"/>
    </xf>
    <xf numFmtId="167" fontId="4" fillId="3" borderId="1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167" fontId="4" fillId="4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/>
    </xf>
    <xf numFmtId="167" fontId="4" fillId="3" borderId="12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7" fontId="4" fillId="4" borderId="1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166" fontId="4" fillId="3" borderId="6" xfId="0" applyNumberFormat="1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3" fontId="4" fillId="4" borderId="16" xfId="0" applyNumberFormat="1" applyFont="1" applyFill="1" applyBorder="1" applyAlignment="1">
      <alignment horizontal="center" vertical="center" wrapText="1"/>
    </xf>
    <xf numFmtId="166" fontId="4" fillId="4" borderId="16" xfId="0" applyNumberFormat="1" applyFont="1" applyFill="1" applyBorder="1" applyAlignment="1">
      <alignment horizontal="center" vertical="center" wrapText="1"/>
    </xf>
    <xf numFmtId="166" fontId="4" fillId="4" borderId="17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3" fontId="4" fillId="3" borderId="16" xfId="0" applyNumberFormat="1" applyFont="1" applyFill="1" applyBorder="1" applyAlignment="1">
      <alignment horizontal="center" vertical="center" wrapText="1"/>
    </xf>
    <xf numFmtId="166" fontId="4" fillId="3" borderId="16" xfId="0" applyNumberFormat="1" applyFont="1" applyFill="1" applyBorder="1" applyAlignment="1">
      <alignment horizontal="center" vertical="center" wrapText="1"/>
    </xf>
    <xf numFmtId="166" fontId="4" fillId="3" borderId="17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166" fontId="4" fillId="4" borderId="8" xfId="0" applyNumberFormat="1" applyFont="1" applyFill="1" applyBorder="1" applyAlignment="1">
      <alignment horizontal="center" vertical="center" wrapText="1"/>
    </xf>
    <xf numFmtId="166" fontId="4" fillId="4" borderId="9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167" fontId="4" fillId="4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/>
    </xf>
    <xf numFmtId="167" fontId="4" fillId="3" borderId="16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7" fontId="4" fillId="4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6" fontId="9" fillId="3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168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168" fontId="9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66" fontId="0" fillId="0" borderId="0" xfId="0" applyNumberFormat="1" applyFont="1" applyAlignment="1"/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3" fontId="9" fillId="3" borderId="5" xfId="0" applyNumberFormat="1" applyFont="1" applyFill="1" applyBorder="1" applyAlignment="1">
      <alignment horizontal="center" vertical="center"/>
    </xf>
    <xf numFmtId="3" fontId="9" fillId="3" borderId="23" xfId="0" applyNumberFormat="1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left" vertical="center"/>
    </xf>
    <xf numFmtId="3" fontId="9" fillId="4" borderId="15" xfId="0" applyNumberFormat="1" applyFont="1" applyFill="1" applyBorder="1" applyAlignment="1">
      <alignment horizontal="center" vertical="center"/>
    </xf>
    <xf numFmtId="3" fontId="9" fillId="4" borderId="24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/>
    </xf>
    <xf numFmtId="3" fontId="9" fillId="3" borderId="15" xfId="0" applyNumberFormat="1" applyFont="1" applyFill="1" applyBorder="1" applyAlignment="1">
      <alignment horizontal="center" vertical="center"/>
    </xf>
    <xf numFmtId="3" fontId="9" fillId="3" borderId="24" xfId="0" applyNumberFormat="1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169" fontId="7" fillId="5" borderId="21" xfId="0" applyNumberFormat="1" applyFont="1" applyFill="1" applyBorder="1" applyAlignment="1">
      <alignment horizontal="center" vertical="center"/>
    </xf>
    <xf numFmtId="3" fontId="7" fillId="5" borderId="21" xfId="0" applyNumberFormat="1" applyFont="1" applyFill="1" applyBorder="1" applyAlignment="1">
      <alignment horizontal="center" vertical="center"/>
    </xf>
    <xf numFmtId="169" fontId="7" fillId="5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vertical="center"/>
      <border diagonalUp="0" diagonalDown="0">
        <left/>
        <right style="thin">
          <color rgb="FFD0D8E0"/>
        </right>
        <top/>
        <bottom/>
        <vertical/>
        <horizontal/>
      </border>
    </dxf>
    <dxf>
      <alignment vertical="center"/>
    </dxf>
    <dxf>
      <alignment vertical="center"/>
    </dxf>
    <dxf>
      <alignment vertical="center"/>
      <border diagonalUp="0" diagonalDown="0">
        <left style="thin">
          <color rgb="FFD0D8E0"/>
        </left>
        <right/>
        <top/>
        <bottom/>
        <vertical/>
        <horizontal/>
      </border>
    </dxf>
    <dxf>
      <alignment vertical="center"/>
    </dxf>
    <dxf>
      <alignment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Monthly_revenue_analysis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3A4B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Total Leads vs. Converted Leads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3A4B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'Lead Conversion Rate'!$B$1</c:f>
              <c:strCache>
                <c:ptCount val="1"/>
                <c:pt idx="0">
                  <c:v>Total Leads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'Lead Conversion Rate'!$A$2:$A$5</c:f>
              <c:strCache>
                <c:ptCount val="4"/>
                <c:pt idx="0">
                  <c:v>Outbound</c:v>
                </c:pt>
                <c:pt idx="1">
                  <c:v>Events</c:v>
                </c:pt>
                <c:pt idx="2">
                  <c:v>Referral</c:v>
                </c:pt>
                <c:pt idx="3">
                  <c:v>Inbound Marketing</c:v>
                </c:pt>
              </c:strCache>
            </c:strRef>
          </c:cat>
          <c:val>
            <c:numRef>
              <c:f>'Lead Conversion Rate'!$B$2:$B$5</c:f>
              <c:numCache>
                <c:formatCode>#,##0</c:formatCode>
                <c:ptCount val="4"/>
                <c:pt idx="0">
                  <c:v>270</c:v>
                </c:pt>
                <c:pt idx="1">
                  <c:v>263</c:v>
                </c:pt>
                <c:pt idx="2">
                  <c:v>268</c:v>
                </c:pt>
                <c:pt idx="3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02-49EB-B3B2-2673DADE0709}"/>
            </c:ext>
          </c:extLst>
        </c:ser>
        <c:ser>
          <c:idx val="1"/>
          <c:order val="1"/>
          <c:tx>
            <c:strRef>
              <c:f>'Lead Conversion Rate'!$C$1</c:f>
              <c:strCache>
                <c:ptCount val="1"/>
                <c:pt idx="0">
                  <c:v>Converted Leads</c:v>
                </c:pt>
              </c:strCache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E8B8B"/>
                    </a:solidFill>
                    <a:latin typeface="Aptos"/>
                    <a:ea typeface="Aptos"/>
                    <a:cs typeface="Apto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'Lead Conversion Rate'!$A$2:$A$5</c:f>
              <c:strCache>
                <c:ptCount val="4"/>
                <c:pt idx="0">
                  <c:v>Outbound</c:v>
                </c:pt>
                <c:pt idx="1">
                  <c:v>Events</c:v>
                </c:pt>
                <c:pt idx="2">
                  <c:v>Referral</c:v>
                </c:pt>
                <c:pt idx="3">
                  <c:v>Inbound Marketing</c:v>
                </c:pt>
              </c:strCache>
            </c:strRef>
          </c:cat>
          <c:val>
            <c:numRef>
              <c:f>'Lead Conversion Rate'!$C$2:$C$5</c:f>
              <c:numCache>
                <c:formatCode>#,##0</c:formatCode>
                <c:ptCount val="4"/>
                <c:pt idx="0">
                  <c:v>48</c:v>
                </c:pt>
                <c:pt idx="1">
                  <c:v>60</c:v>
                </c:pt>
                <c:pt idx="2">
                  <c:v>88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02-49EB-B3B2-2673DADE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740935"/>
        <c:axId val="1806179335"/>
      </c:barChart>
      <c:catAx>
        <c:axId val="1767740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33333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806179335"/>
        <c:crosses val="autoZero"/>
        <c:auto val="1"/>
        <c:lblAlgn val="ctr"/>
        <c:lblOffset val="100"/>
        <c:noMultiLvlLbl val="0"/>
      </c:catAx>
      <c:valAx>
        <c:axId val="1806179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76774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B3A4B"/>
                </a:solidFill>
                <a:latin typeface="Aptos"/>
                <a:ea typeface="Aptos"/>
                <a:cs typeface="Aptos"/>
              </a:defRPr>
            </a:pPr>
            <a:r>
              <a:rPr lang="en-US"/>
              <a:t>Conversion Rate by Source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B3A4B"/>
              </a:solidFill>
              <a:latin typeface="Aptos"/>
              <a:ea typeface="Aptos"/>
              <a:cs typeface="Apto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'Lead Conversion Rate'!$B$30</c:f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1B3A4B"/>
                    </a:solidFill>
                    <a:latin typeface="Aptos"/>
                    <a:ea typeface="Aptos"/>
                    <a:cs typeface="Apto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'Lead Conversion Rate'!$A$31:$A$34</c:f>
            </c:strRef>
          </c:cat>
          <c:val>
            <c:numRef>
              <c:f>'Lead Conversion Rate'!$B$31:$B$34</c:f>
            </c:numRef>
          </c:val>
          <c:extLst>
            <c:ext xmlns:c16="http://schemas.microsoft.com/office/drawing/2014/chart" uri="{C3380CC4-5D6E-409C-BE32-E72D297353CC}">
              <c16:uniqueId val="{00000007-06E3-4DBA-BDD7-A864A94C8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2380039"/>
        <c:axId val="1942418439"/>
      </c:barChart>
      <c:catAx>
        <c:axId val="1942380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333333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42418439"/>
        <c:crosses val="autoZero"/>
        <c:auto val="1"/>
        <c:lblAlgn val="ctr"/>
        <c:lblOffset val="100"/>
        <c:noMultiLvlLbl val="0"/>
      </c:catAx>
      <c:valAx>
        <c:axId val="194241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666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942380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Funnel: Value &amp; Volume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'Pipeline Analysis'!$G$1</c:f>
              <c:strCache>
                <c:ptCount val="1"/>
                <c:pt idx="0">
                  <c:v>Pipeline Value ($)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'Pipeline Analysis'!$F$2:$F$6</c:f>
              <c:strCache>
                <c:ptCount val="5"/>
                <c:pt idx="0">
                  <c:v>Prospecting</c:v>
                </c:pt>
                <c:pt idx="1">
                  <c:v>Qualification</c:v>
                </c:pt>
                <c:pt idx="2">
                  <c:v>Proposal</c:v>
                </c:pt>
                <c:pt idx="3">
                  <c:v>Negotiation</c:v>
                </c:pt>
                <c:pt idx="4">
                  <c:v>Closed Won</c:v>
                </c:pt>
              </c:strCache>
            </c:strRef>
          </c:cat>
          <c:val>
            <c:numRef>
              <c:f>'Pipeline Analysis'!$G$2:$G$6</c:f>
              <c:numCache>
                <c:formatCode>General</c:formatCode>
                <c:ptCount val="5"/>
                <c:pt idx="0">
                  <c:v>1665735</c:v>
                </c:pt>
                <c:pt idx="1">
                  <c:v>1984250</c:v>
                </c:pt>
                <c:pt idx="2">
                  <c:v>1811277</c:v>
                </c:pt>
                <c:pt idx="3">
                  <c:v>1794261</c:v>
                </c:pt>
                <c:pt idx="4">
                  <c:v>4049377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1B-4E8A-9160-555D67EAB4BD}"/>
            </c:ext>
          </c:extLst>
        </c:ser>
        <c:ser>
          <c:idx val="1"/>
          <c:order val="1"/>
          <c:tx>
            <c:strRef>
              <c:f>'Pipeline Analysis'!$H$1</c:f>
              <c:strCache>
                <c:ptCount val="1"/>
                <c:pt idx="0">
                  <c:v>Opportunities</c:v>
                </c:pt>
              </c:strCache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cat>
            <c:strRef>
              <c:f>'Pipeline Analysis'!$F$2:$F$6</c:f>
              <c:strCache>
                <c:ptCount val="5"/>
                <c:pt idx="0">
                  <c:v>Prospecting</c:v>
                </c:pt>
                <c:pt idx="1">
                  <c:v>Qualification</c:v>
                </c:pt>
                <c:pt idx="2">
                  <c:v>Proposal</c:v>
                </c:pt>
                <c:pt idx="3">
                  <c:v>Negotiation</c:v>
                </c:pt>
                <c:pt idx="4">
                  <c:v>Closed Won</c:v>
                </c:pt>
              </c:strCache>
            </c:strRef>
          </c:cat>
          <c:val>
            <c:numRef>
              <c:f>'Pipeline Analysis'!$H$2:$H$6</c:f>
              <c:numCache>
                <c:formatCode>General</c:formatCode>
                <c:ptCount val="5"/>
                <c:pt idx="0">
                  <c:v>22</c:v>
                </c:pt>
                <c:pt idx="1">
                  <c:v>31</c:v>
                </c:pt>
                <c:pt idx="2">
                  <c:v>23</c:v>
                </c:pt>
                <c:pt idx="3">
                  <c:v>28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1B-4E8A-9160-555D67EAB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117191"/>
        <c:axId val="1769124871"/>
      </c:barChart>
      <c:catAx>
        <c:axId val="1769117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24871"/>
        <c:crosses val="autoZero"/>
        <c:auto val="1"/>
        <c:lblAlgn val="ctr"/>
        <c:lblOffset val="100"/>
        <c:noMultiLvlLbl val="0"/>
      </c:catAx>
      <c:valAx>
        <c:axId val="1769124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1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Deal Size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'Pipeline Analysis'!$G$8</c:f>
              <c:strCache>
                <c:ptCount val="1"/>
                <c:pt idx="0">
                  <c:v>Avg. Deal Size ($)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'Pipeline Analysis'!$F$9:$F$14</c:f>
              <c:strCache>
                <c:ptCount val="6"/>
                <c:pt idx="0">
                  <c:v>Prospecting</c:v>
                </c:pt>
                <c:pt idx="1">
                  <c:v>Qualification</c:v>
                </c:pt>
                <c:pt idx="2">
                  <c:v>Proposal</c:v>
                </c:pt>
                <c:pt idx="3">
                  <c:v>Negotiation</c:v>
                </c:pt>
                <c:pt idx="4">
                  <c:v>Closed Won</c:v>
                </c:pt>
                <c:pt idx="5">
                  <c:v>Closed Lost</c:v>
                </c:pt>
              </c:strCache>
            </c:strRef>
          </c:cat>
          <c:val>
            <c:numRef>
              <c:f>'Pipeline Analysis'!$G$9:$G$14</c:f>
              <c:numCache>
                <c:formatCode>General</c:formatCode>
                <c:ptCount val="6"/>
                <c:pt idx="0">
                  <c:v>75715</c:v>
                </c:pt>
                <c:pt idx="1">
                  <c:v>64008</c:v>
                </c:pt>
                <c:pt idx="2">
                  <c:v>78751</c:v>
                </c:pt>
                <c:pt idx="3">
                  <c:v>64081</c:v>
                </c:pt>
                <c:pt idx="4">
                  <c:v>72310</c:v>
                </c:pt>
                <c:pt idx="5">
                  <c:v>74594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22-430C-89B5-7164A2E6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813063"/>
        <c:axId val="1904824327"/>
      </c:barChart>
      <c:catAx>
        <c:axId val="1904813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24327"/>
        <c:crosses val="autoZero"/>
        <c:auto val="1"/>
        <c:lblAlgn val="ctr"/>
        <c:lblOffset val="100"/>
        <c:noMultiLvlLbl val="0"/>
      </c:catAx>
      <c:valAx>
        <c:axId val="190482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1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 Performance: Revenue vs. Win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 Analysis'!$J$1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'Rep Analysis'!$I$2:$I$11</c:f>
              <c:strCache>
                <c:ptCount val="10"/>
                <c:pt idx="0">
                  <c:v>E. Rodriguez</c:v>
                </c:pt>
                <c:pt idx="1">
                  <c:v>M. Torres</c:v>
                </c:pt>
                <c:pt idx="2">
                  <c:v>L. Thompson</c:v>
                </c:pt>
                <c:pt idx="3">
                  <c:v>J. Anderson</c:v>
                </c:pt>
                <c:pt idx="4">
                  <c:v>D. Kim</c:v>
                </c:pt>
                <c:pt idx="5">
                  <c:v>C. Lee</c:v>
                </c:pt>
                <c:pt idx="6">
                  <c:v>A. Davis</c:v>
                </c:pt>
                <c:pt idx="7">
                  <c:v>R. Martinez</c:v>
                </c:pt>
                <c:pt idx="8">
                  <c:v>S. Chen</c:v>
                </c:pt>
                <c:pt idx="9">
                  <c:v>J. Williams</c:v>
                </c:pt>
              </c:strCache>
            </c:strRef>
          </c:cat>
          <c:val>
            <c:numRef>
              <c:f>'Rep Analysis'!$J$2:$J$11</c:f>
              <c:numCache>
                <c:formatCode>General</c:formatCode>
                <c:ptCount val="10"/>
                <c:pt idx="0">
                  <c:v>771251</c:v>
                </c:pt>
                <c:pt idx="1">
                  <c:v>731121</c:v>
                </c:pt>
                <c:pt idx="2">
                  <c:v>419556</c:v>
                </c:pt>
                <c:pt idx="3">
                  <c:v>370032</c:v>
                </c:pt>
                <c:pt idx="4">
                  <c:v>325350</c:v>
                </c:pt>
                <c:pt idx="5">
                  <c:v>324411</c:v>
                </c:pt>
                <c:pt idx="6">
                  <c:v>308929</c:v>
                </c:pt>
                <c:pt idx="7">
                  <c:v>305094</c:v>
                </c:pt>
                <c:pt idx="8">
                  <c:v>281365</c:v>
                </c:pt>
                <c:pt idx="9">
                  <c:v>212268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4A-4F6E-8E2D-0E1A383FD819}"/>
            </c:ext>
          </c:extLst>
        </c:ser>
        <c:ser>
          <c:idx val="1"/>
          <c:order val="1"/>
          <c:tx>
            <c:strRef>
              <c:f>'Rep Analysis'!$K$1</c:f>
              <c:strCache>
                <c:ptCount val="1"/>
                <c:pt idx="0">
                  <c:v>Win Rate (%)</c:v>
                </c:pt>
              </c:strCache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cat>
            <c:strRef>
              <c:f>'Rep Analysis'!$I$2:$I$11</c:f>
              <c:strCache>
                <c:ptCount val="10"/>
                <c:pt idx="0">
                  <c:v>E. Rodriguez</c:v>
                </c:pt>
                <c:pt idx="1">
                  <c:v>M. Torres</c:v>
                </c:pt>
                <c:pt idx="2">
                  <c:v>L. Thompson</c:v>
                </c:pt>
                <c:pt idx="3">
                  <c:v>J. Anderson</c:v>
                </c:pt>
                <c:pt idx="4">
                  <c:v>D. Kim</c:v>
                </c:pt>
                <c:pt idx="5">
                  <c:v>C. Lee</c:v>
                </c:pt>
                <c:pt idx="6">
                  <c:v>A. Davis</c:v>
                </c:pt>
                <c:pt idx="7">
                  <c:v>R. Martinez</c:v>
                </c:pt>
                <c:pt idx="8">
                  <c:v>S. Chen</c:v>
                </c:pt>
                <c:pt idx="9">
                  <c:v>J. Williams</c:v>
                </c:pt>
              </c:strCache>
            </c:strRef>
          </c:cat>
          <c:val>
            <c:numRef>
              <c:f>'Rep Analysis'!$K$2:$K$11</c:f>
              <c:numCache>
                <c:formatCode>General</c:formatCode>
                <c:ptCount val="10"/>
                <c:pt idx="0">
                  <c:v>38.1</c:v>
                </c:pt>
                <c:pt idx="1">
                  <c:v>57.89</c:v>
                </c:pt>
                <c:pt idx="2">
                  <c:v>40</c:v>
                </c:pt>
                <c:pt idx="3">
                  <c:v>47.06</c:v>
                </c:pt>
                <c:pt idx="4">
                  <c:v>18.75</c:v>
                </c:pt>
                <c:pt idx="5">
                  <c:v>28.57</c:v>
                </c:pt>
                <c:pt idx="6">
                  <c:v>36.36</c:v>
                </c:pt>
                <c:pt idx="7">
                  <c:v>26.32</c:v>
                </c:pt>
                <c:pt idx="8">
                  <c:v>25</c:v>
                </c:pt>
                <c:pt idx="9">
                  <c:v>30.77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4A-4F6E-8E2D-0E1A383F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6143495"/>
        <c:axId val="1806146567"/>
      </c:barChart>
      <c:catAx>
        <c:axId val="1806143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46567"/>
        <c:crosses val="autoZero"/>
        <c:auto val="1"/>
        <c:lblAlgn val="ctr"/>
        <c:lblOffset val="100"/>
        <c:noMultiLvlLbl val="0"/>
      </c:catAx>
      <c:valAx>
        <c:axId val="180614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4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$ At Risk by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&amp; Opportunities'!$J$2</c:f>
              <c:strCache>
                <c:ptCount val="1"/>
                <c:pt idx="0">
                  <c:v>M. Torres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Opportunities'!$K$2</c:f>
              <c:numCache>
                <c:formatCode>"$"#,##0</c:formatCode>
                <c:ptCount val="1"/>
                <c:pt idx="0">
                  <c:v>1496378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3-4827-8595-D454194B5FDA}"/>
            </c:ext>
          </c:extLst>
        </c:ser>
        <c:ser>
          <c:idx val="1"/>
          <c:order val="1"/>
          <c:tx>
            <c:strRef>
              <c:f>'Risk &amp; Opportunities'!$J$3</c:f>
              <c:strCache>
                <c:ptCount val="1"/>
                <c:pt idx="0">
                  <c:v>J. Anderson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Opportunities'!$K$3</c:f>
              <c:numCache>
                <c:formatCode>"$"#,##0</c:formatCode>
                <c:ptCount val="1"/>
                <c:pt idx="0">
                  <c:v>1261299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43-4827-8595-D454194B5FDA}"/>
            </c:ext>
          </c:extLst>
        </c:ser>
        <c:ser>
          <c:idx val="2"/>
          <c:order val="2"/>
          <c:tx>
            <c:strRef>
              <c:f>'Risk &amp; Opportunities'!$J$4</c:f>
              <c:strCache>
                <c:ptCount val="1"/>
                <c:pt idx="0">
                  <c:v>L. Thompson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Opportunities'!$K$4</c:f>
              <c:numCache>
                <c:formatCode>"$"#,##0</c:formatCode>
                <c:ptCount val="1"/>
                <c:pt idx="0">
                  <c:v>1454524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43-4827-8595-D454194B5FDA}"/>
            </c:ext>
          </c:extLst>
        </c:ser>
        <c:ser>
          <c:idx val="3"/>
          <c:order val="3"/>
          <c:tx>
            <c:strRef>
              <c:f>'Risk &amp; Opportunities'!$J$5</c:f>
              <c:strCache>
                <c:ptCount val="1"/>
                <c:pt idx="0">
                  <c:v>E. Rodriguez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Opportunities'!$K$5</c:f>
              <c:numCache>
                <c:formatCode>"$"#,##0</c:formatCode>
                <c:ptCount val="1"/>
                <c:pt idx="0">
                  <c:v>1296473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43-4827-8595-D454194B5FDA}"/>
            </c:ext>
          </c:extLst>
        </c:ser>
        <c:ser>
          <c:idx val="4"/>
          <c:order val="4"/>
          <c:tx>
            <c:strRef>
              <c:f>'Risk &amp; Opportunities'!$J$6</c:f>
              <c:strCache>
                <c:ptCount val="1"/>
                <c:pt idx="0">
                  <c:v>C. Lee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Opportunities'!$K$6</c:f>
              <c:numCache>
                <c:formatCode>"$"#,##0</c:formatCode>
                <c:ptCount val="1"/>
                <c:pt idx="0">
                  <c:v>1162388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843-4827-8595-D454194B5FDA}"/>
            </c:ext>
          </c:extLst>
        </c:ser>
        <c:ser>
          <c:idx val="5"/>
          <c:order val="5"/>
          <c:tx>
            <c:strRef>
              <c:f>'Risk &amp; Opportunities'!$J$7</c:f>
              <c:strCache>
                <c:ptCount val="1"/>
                <c:pt idx="0">
                  <c:v>S. Chen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Opportunities'!$K$7</c:f>
              <c:numCache>
                <c:formatCode>"$"#,##0</c:formatCode>
                <c:ptCount val="1"/>
                <c:pt idx="0">
                  <c:v>1032184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43-4827-8595-D454194B5FDA}"/>
            </c:ext>
          </c:extLst>
        </c:ser>
        <c:ser>
          <c:idx val="6"/>
          <c:order val="6"/>
          <c:tx>
            <c:strRef>
              <c:f>'Risk &amp; Opportunities'!$J$8</c:f>
              <c:strCache>
                <c:ptCount val="1"/>
                <c:pt idx="0">
                  <c:v>A. Davis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Opportunities'!$K$8</c:f>
              <c:numCache>
                <c:formatCode>"$"#,##0</c:formatCode>
                <c:ptCount val="1"/>
                <c:pt idx="0">
                  <c:v>1030342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843-4827-8595-D454194B5FDA}"/>
            </c:ext>
          </c:extLst>
        </c:ser>
        <c:ser>
          <c:idx val="7"/>
          <c:order val="7"/>
          <c:tx>
            <c:strRef>
              <c:f>'Risk &amp; Opportunities'!$J$9</c:f>
              <c:strCache>
                <c:ptCount val="1"/>
                <c:pt idx="0">
                  <c:v>R. Martinez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Opportunities'!$K$9</c:f>
              <c:numCache>
                <c:formatCode>"$"#,##0</c:formatCode>
                <c:ptCount val="1"/>
                <c:pt idx="0">
                  <c:v>960755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843-4827-8595-D454194B5FDA}"/>
            </c:ext>
          </c:extLst>
        </c:ser>
        <c:ser>
          <c:idx val="8"/>
          <c:order val="8"/>
          <c:tx>
            <c:strRef>
              <c:f>'Risk &amp; Opportunities'!$J$10</c:f>
              <c:strCache>
                <c:ptCount val="1"/>
                <c:pt idx="0">
                  <c:v>J. Williams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Opportunities'!$K$10</c:f>
              <c:numCache>
                <c:formatCode>"$"#,##0</c:formatCode>
                <c:ptCount val="1"/>
                <c:pt idx="0">
                  <c:v>865888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843-4827-8595-D454194B5FDA}"/>
            </c:ext>
          </c:extLst>
        </c:ser>
        <c:ser>
          <c:idx val="9"/>
          <c:order val="9"/>
          <c:tx>
            <c:strRef>
              <c:f>'Risk &amp; Opportunities'!$J$11</c:f>
              <c:strCache>
                <c:ptCount val="1"/>
                <c:pt idx="0">
                  <c:v>D. Kim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'Risk &amp; Opportunities'!$K$1</c:f>
              <c:strCache>
                <c:ptCount val="1"/>
                <c:pt idx="0">
                  <c:v>$ At Risk</c:v>
                </c:pt>
              </c:strCache>
            </c:strRef>
          </c:cat>
          <c:val>
            <c:numRef>
              <c:f>'Risk &amp; Opportunities'!$K$11</c:f>
              <c:numCache>
                <c:formatCode>General</c:formatCode>
                <c:ptCount val="1"/>
                <c:pt idx="0">
                  <c:v>744669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43-4827-8595-D454194B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3429255"/>
        <c:axId val="1813440519"/>
      </c:barChart>
      <c:catAx>
        <c:axId val="1813429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40519"/>
        <c:crosses val="autoZero"/>
        <c:auto val="1"/>
        <c:lblAlgn val="ctr"/>
        <c:lblOffset val="100"/>
        <c:noMultiLvlLbl val="0"/>
      </c:catAx>
      <c:valAx>
        <c:axId val="1813440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29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B3A4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Cycle by Lead Source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B3A4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Cycle By Source'!$H$2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cat>
            <c:strRef>
              <c:f>'Sales Cycle By Source'!$I$1:$K$1</c:f>
              <c:strCache>
                <c:ptCount val="3"/>
                <c:pt idx="0">
                  <c:v>Min Cycle</c:v>
                </c:pt>
                <c:pt idx="1">
                  <c:v>Avg Cycle</c:v>
                </c:pt>
                <c:pt idx="2">
                  <c:v>Max Cycle</c:v>
                </c:pt>
              </c:strCache>
            </c:strRef>
          </c:cat>
          <c:val>
            <c:numRef>
              <c:f>'Sales Cycle By Source'!$I$2:$K$2</c:f>
              <c:numCache>
                <c:formatCode>General</c:formatCode>
                <c:ptCount val="3"/>
                <c:pt idx="0">
                  <c:v>22</c:v>
                </c:pt>
                <c:pt idx="1">
                  <c:v>45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8E7-419B-8458-8F412123ECB4}"/>
            </c:ext>
          </c:extLst>
        </c:ser>
        <c:ser>
          <c:idx val="1"/>
          <c:order val="1"/>
          <c:tx>
            <c:strRef>
              <c:f>'Sales Cycle By Source'!$H$3</c:f>
              <c:strCache>
                <c:ptCount val="1"/>
                <c:pt idx="0">
                  <c:v>Inbound Marketing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cat>
            <c:strRef>
              <c:f>'Sales Cycle By Source'!$I$1:$K$1</c:f>
              <c:strCache>
                <c:ptCount val="3"/>
                <c:pt idx="0">
                  <c:v>Min Cycle</c:v>
                </c:pt>
                <c:pt idx="1">
                  <c:v>Avg Cycle</c:v>
                </c:pt>
                <c:pt idx="2">
                  <c:v>Max Cycle</c:v>
                </c:pt>
              </c:strCache>
            </c:strRef>
          </c:cat>
          <c:val>
            <c:numRef>
              <c:f>'Sales Cycle By Source'!$I$3:$K$3</c:f>
              <c:numCache>
                <c:formatCode>General</c:formatCode>
                <c:ptCount val="3"/>
                <c:pt idx="0">
                  <c:v>21</c:v>
                </c:pt>
                <c:pt idx="1">
                  <c:v>47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8E7-419B-8458-8F412123ECB4}"/>
            </c:ext>
          </c:extLst>
        </c:ser>
        <c:ser>
          <c:idx val="2"/>
          <c:order val="2"/>
          <c:tx>
            <c:strRef>
              <c:f>'Sales Cycle By Source'!$H$4</c:f>
              <c:strCache>
                <c:ptCount val="1"/>
                <c:pt idx="0">
                  <c:v>Outbound</c:v>
                </c:pt>
              </c:strCache>
            </c:strRef>
          </c:tx>
          <c:spPr>
            <a:solidFill>
              <a:srgbClr val="D4534B"/>
            </a:solidFill>
            <a:ln>
              <a:noFill/>
            </a:ln>
            <a:effectLst/>
          </c:spPr>
          <c:invertIfNegative val="0"/>
          <c:cat>
            <c:strRef>
              <c:f>'Sales Cycle By Source'!$I$1:$K$1</c:f>
              <c:strCache>
                <c:ptCount val="3"/>
                <c:pt idx="0">
                  <c:v>Min Cycle</c:v>
                </c:pt>
                <c:pt idx="1">
                  <c:v>Avg Cycle</c:v>
                </c:pt>
                <c:pt idx="2">
                  <c:v>Max Cycle</c:v>
                </c:pt>
              </c:strCache>
            </c:strRef>
          </c:cat>
          <c:val>
            <c:numRef>
              <c:f>'Sales Cycle By Source'!$I$4:$K$4</c:f>
              <c:numCache>
                <c:formatCode>General</c:formatCode>
                <c:ptCount val="3"/>
                <c:pt idx="0">
                  <c:v>20</c:v>
                </c:pt>
                <c:pt idx="1">
                  <c:v>46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8E7-419B-8458-8F412123ECB4}"/>
            </c:ext>
          </c:extLst>
        </c:ser>
        <c:ser>
          <c:idx val="3"/>
          <c:order val="3"/>
          <c:tx>
            <c:strRef>
              <c:f>'Sales Cycle By Source'!$H$5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Cycle By Source'!$I$1:$K$1</c:f>
              <c:strCache>
                <c:ptCount val="3"/>
                <c:pt idx="0">
                  <c:v>Min Cycle</c:v>
                </c:pt>
                <c:pt idx="1">
                  <c:v>Avg Cycle</c:v>
                </c:pt>
                <c:pt idx="2">
                  <c:v>Max Cycle</c:v>
                </c:pt>
              </c:strCache>
            </c:strRef>
          </c:cat>
          <c:val>
            <c:numRef>
              <c:f>'Sales Cycle By Source'!$I$5:$K$5</c:f>
              <c:numCache>
                <c:formatCode>General</c:formatCode>
                <c:ptCount val="3"/>
                <c:pt idx="0">
                  <c:v>20</c:v>
                </c:pt>
                <c:pt idx="1">
                  <c:v>47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8E7-419B-8458-8F412123E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3560327"/>
        <c:axId val="1813569543"/>
      </c:barChart>
      <c:catAx>
        <c:axId val="1813560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69543"/>
        <c:crosses val="autoZero"/>
        <c:auto val="1"/>
        <c:lblAlgn val="ctr"/>
        <c:lblOffset val="100"/>
        <c:noMultiLvlLbl val="0"/>
      </c:catAx>
      <c:valAx>
        <c:axId val="1813569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56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1B3A4B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B3A4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Volume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B3A4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Cycle By Source'!$H$8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1B3A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B3A4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Cycle By Source'!$I$7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'Sales Cycle By Source'!$I$8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2F-47BC-8331-3CD8DED7F0FE}"/>
            </c:ext>
          </c:extLst>
        </c:ser>
        <c:ser>
          <c:idx val="1"/>
          <c:order val="1"/>
          <c:tx>
            <c:strRef>
              <c:f>'Sales Cycle By Source'!$H$9</c:f>
              <c:strCache>
                <c:ptCount val="1"/>
                <c:pt idx="0">
                  <c:v>Inbound Marketing</c:v>
                </c:pt>
              </c:strCache>
            </c:strRef>
          </c:tx>
          <c:spPr>
            <a:solidFill>
              <a:srgbClr val="2E8B8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B3A4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Cycle By Source'!$I$7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'Sales Cycle By Source'!$I$9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2F-47BC-8331-3CD8DED7F0FE}"/>
            </c:ext>
          </c:extLst>
        </c:ser>
        <c:ser>
          <c:idx val="2"/>
          <c:order val="2"/>
          <c:tx>
            <c:strRef>
              <c:f>'Sales Cycle By Source'!$H$10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A9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B3A4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Cycle By Source'!$I$7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'Sales Cycle By Source'!$I$10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D2F-47BC-8331-3CD8DED7F0FE}"/>
            </c:ext>
          </c:extLst>
        </c:ser>
        <c:ser>
          <c:idx val="3"/>
          <c:order val="3"/>
          <c:tx>
            <c:strRef>
              <c:f>'Sales Cycle By Source'!$H$11</c:f>
              <c:strCache>
                <c:ptCount val="1"/>
                <c:pt idx="0">
                  <c:v>Outbound</c:v>
                </c:pt>
              </c:strCache>
            </c:strRef>
          </c:tx>
          <c:spPr>
            <a:solidFill>
              <a:srgbClr val="7AB8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B3A4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Cycle By Source'!$I$7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'Sales Cycle By Source'!$I$11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D2F-47BC-8331-3CD8DED7F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1140360"/>
        <c:axId val="1351148040"/>
      </c:barChart>
      <c:catAx>
        <c:axId val="1351140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148040"/>
        <c:crosses val="autoZero"/>
        <c:auto val="1"/>
        <c:lblAlgn val="ctr"/>
        <c:lblOffset val="100"/>
        <c:noMultiLvlLbl val="0"/>
      </c:catAx>
      <c:valAx>
        <c:axId val="135114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14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1009650</xdr:colOff>
      <xdr:row>24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E5E4A0-0719-CC5C-7A82-FFA7F256D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1009650</xdr:colOff>
      <xdr:row>37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71FDB5-0919-D15B-A7A1-98C5B251D73F}"/>
            </a:ext>
            <a:ext uri="{147F2762-F138-4A5C-976F-8EAC2B608ADB}">
              <a16:predDERef xmlns:a16="http://schemas.microsoft.com/office/drawing/2014/main" pred="{B9E5E4A0-0719-CC5C-7A82-FFA7F256D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1333500</xdr:colOff>
      <xdr:row>27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6F27A0-F84C-B2E7-1D4E-2A145D7C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1333500</xdr:colOff>
      <xdr:row>41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A8B54A-2B5C-FE41-FC9A-80C0DF791FC1}"/>
            </a:ext>
            <a:ext uri="{147F2762-F138-4A5C-976F-8EAC2B608ADB}">
              <a16:predDERef xmlns:a16="http://schemas.microsoft.com/office/drawing/2014/main" pred="{7C6F27A0-F84C-B2E7-1D4E-2A145D7C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371475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0DA43-8405-4DC6-D88A-BF8124D65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0</xdr:row>
      <xdr:rowOff>0</xdr:rowOff>
    </xdr:from>
    <xdr:to>
      <xdr:col>8</xdr:col>
      <xdr:colOff>371475</xdr:colOff>
      <xdr:row>13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D7539F-A2EF-CA7F-2474-0C6DD2707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514350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C19CD-9C5F-C907-1056-F4FC6F30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4</xdr:col>
      <xdr:colOff>514350</xdr:colOff>
      <xdr:row>38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251731-06F4-815C-ACDE-F985CAE5BD51}"/>
            </a:ext>
            <a:ext uri="{147F2762-F138-4A5C-976F-8EAC2B608ADB}">
              <a16:predDERef xmlns:a16="http://schemas.microsoft.com/office/drawing/2014/main" pred="{62EC19CD-9C5F-C907-1056-F4FC6F30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_Revenue_Totals" displayName="Monthly_Revenue_Totals" ref="A1:D19" headerRowDxfId="5" dataDxfId="4">
  <tableColumns count="4">
    <tableColumn id="1" xr3:uid="{00000000-0010-0000-0000-000001000000}" name="Month" dataDxfId="3"/>
    <tableColumn id="2" xr3:uid="{00000000-0010-0000-0000-000002000000}" name="Deals Closed" dataDxfId="2"/>
    <tableColumn id="3" xr3:uid="{00000000-0010-0000-0000-000003000000}" name="Total Revenue" dataDxfId="1"/>
    <tableColumn id="4" xr3:uid="{00000000-0010-0000-0000-000004000000}" name="Running Total" dataDxfId="0"/>
  </tableColumns>
  <tableStyleInfo name="Monthly_revenue_analys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3C11DF-1583-46A7-9521-2B8FA0F95AB1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9"/>
  <sheetViews>
    <sheetView workbookViewId="0">
      <pane ySplit="1" topLeftCell="A3" activePane="bottomLeft" state="frozen"/>
      <selection pane="bottomLeft" activeCell="B3" sqref="B3"/>
    </sheetView>
  </sheetViews>
  <sheetFormatPr defaultColWidth="12.5703125" defaultRowHeight="15.75" customHeight="1"/>
  <cols>
    <col min="1" max="1" width="21.85546875" customWidth="1"/>
    <col min="2" max="2" width="20" customWidth="1"/>
    <col min="3" max="4" width="22.85546875" customWidth="1"/>
  </cols>
  <sheetData>
    <row r="1" spans="1:4" ht="30" customHeight="1">
      <c r="A1" s="4" t="s">
        <v>0</v>
      </c>
      <c r="B1" s="3" t="s">
        <v>1</v>
      </c>
      <c r="C1" s="3" t="s">
        <v>2</v>
      </c>
      <c r="D1" s="5" t="s">
        <v>3</v>
      </c>
    </row>
    <row r="2" spans="1:4" ht="24" customHeight="1">
      <c r="A2" s="6">
        <v>45352</v>
      </c>
      <c r="B2" s="7">
        <v>3</v>
      </c>
      <c r="C2" s="8">
        <v>342115</v>
      </c>
      <c r="D2" s="9">
        <v>342115</v>
      </c>
    </row>
    <row r="3" spans="1:4" ht="24" customHeight="1">
      <c r="A3" s="27">
        <v>45413</v>
      </c>
      <c r="B3" s="28">
        <v>5</v>
      </c>
      <c r="C3" s="29">
        <v>578649</v>
      </c>
      <c r="D3" s="30">
        <v>920764</v>
      </c>
    </row>
    <row r="4" spans="1:4" ht="24" customHeight="1">
      <c r="A4" s="13">
        <v>45444</v>
      </c>
      <c r="B4" s="14">
        <v>5</v>
      </c>
      <c r="C4" s="15">
        <v>548042</v>
      </c>
      <c r="D4" s="16">
        <v>1468806</v>
      </c>
    </row>
    <row r="5" spans="1:4" ht="24" customHeight="1">
      <c r="A5" s="27">
        <v>45474</v>
      </c>
      <c r="B5" s="28">
        <v>2</v>
      </c>
      <c r="C5" s="29">
        <v>106998</v>
      </c>
      <c r="D5" s="30">
        <v>1575804</v>
      </c>
    </row>
    <row r="6" spans="1:4" ht="24" customHeight="1">
      <c r="A6" s="13">
        <v>45505</v>
      </c>
      <c r="B6" s="14">
        <v>4</v>
      </c>
      <c r="C6" s="15">
        <v>269513</v>
      </c>
      <c r="D6" s="16">
        <v>1845317</v>
      </c>
    </row>
    <row r="7" spans="1:4" ht="24" customHeight="1">
      <c r="A7" s="27">
        <v>45536</v>
      </c>
      <c r="B7" s="28">
        <v>2</v>
      </c>
      <c r="C7" s="29">
        <v>110750</v>
      </c>
      <c r="D7" s="30">
        <v>1956067</v>
      </c>
    </row>
    <row r="8" spans="1:4" ht="24" customHeight="1">
      <c r="A8" s="13">
        <v>45566</v>
      </c>
      <c r="B8" s="14">
        <v>2</v>
      </c>
      <c r="C8" s="15">
        <v>37247</v>
      </c>
      <c r="D8" s="16">
        <v>1993314</v>
      </c>
    </row>
    <row r="9" spans="1:4" ht="24" customHeight="1">
      <c r="A9" s="27">
        <v>45597</v>
      </c>
      <c r="B9" s="28">
        <v>1</v>
      </c>
      <c r="C9" s="29">
        <v>47690</v>
      </c>
      <c r="D9" s="30">
        <v>2041004</v>
      </c>
    </row>
    <row r="10" spans="1:4" ht="24" customHeight="1">
      <c r="A10" s="13">
        <v>45627</v>
      </c>
      <c r="B10" s="14">
        <v>7</v>
      </c>
      <c r="C10" s="15">
        <v>419867</v>
      </c>
      <c r="D10" s="16">
        <v>2460871</v>
      </c>
    </row>
    <row r="11" spans="1:4" ht="24" customHeight="1">
      <c r="A11" s="27">
        <v>45658</v>
      </c>
      <c r="B11" s="28">
        <v>3</v>
      </c>
      <c r="C11" s="29">
        <v>163867</v>
      </c>
      <c r="D11" s="30">
        <v>2624738</v>
      </c>
    </row>
    <row r="12" spans="1:4" ht="24" customHeight="1">
      <c r="A12" s="13">
        <v>45689</v>
      </c>
      <c r="B12" s="14">
        <v>3</v>
      </c>
      <c r="C12" s="15">
        <v>215880</v>
      </c>
      <c r="D12" s="16">
        <v>2840618</v>
      </c>
    </row>
    <row r="13" spans="1:4" ht="24" customHeight="1">
      <c r="A13" s="27">
        <v>45717</v>
      </c>
      <c r="B13" s="28">
        <v>3</v>
      </c>
      <c r="C13" s="29">
        <v>153909</v>
      </c>
      <c r="D13" s="30">
        <v>2994527</v>
      </c>
    </row>
    <row r="14" spans="1:4" ht="24" customHeight="1">
      <c r="A14" s="13">
        <v>45748</v>
      </c>
      <c r="B14" s="14">
        <v>1</v>
      </c>
      <c r="C14" s="15">
        <v>8784</v>
      </c>
      <c r="D14" s="16">
        <v>3003311</v>
      </c>
    </row>
    <row r="15" spans="1:4" ht="24" customHeight="1">
      <c r="A15" s="27">
        <v>45778</v>
      </c>
      <c r="B15" s="28">
        <v>4</v>
      </c>
      <c r="C15" s="29">
        <v>340700</v>
      </c>
      <c r="D15" s="30">
        <v>3344011</v>
      </c>
    </row>
    <row r="16" spans="1:4" ht="24" customHeight="1">
      <c r="A16" s="13">
        <v>45809</v>
      </c>
      <c r="B16" s="14">
        <v>4</v>
      </c>
      <c r="C16" s="15">
        <v>247184</v>
      </c>
      <c r="D16" s="16">
        <v>3591195</v>
      </c>
    </row>
    <row r="17" spans="1:4" ht="24" customHeight="1">
      <c r="A17" s="27">
        <v>45839</v>
      </c>
      <c r="B17" s="28">
        <v>3</v>
      </c>
      <c r="C17" s="29">
        <v>240778</v>
      </c>
      <c r="D17" s="30">
        <v>3831973</v>
      </c>
    </row>
    <row r="18" spans="1:4" ht="24" customHeight="1">
      <c r="A18" s="13">
        <v>45870</v>
      </c>
      <c r="B18" s="14">
        <v>1</v>
      </c>
      <c r="C18" s="15">
        <v>81467</v>
      </c>
      <c r="D18" s="16">
        <v>3913440</v>
      </c>
    </row>
    <row r="19" spans="1:4" ht="24" customHeight="1">
      <c r="A19" s="23">
        <v>45901</v>
      </c>
      <c r="B19" s="24">
        <v>3</v>
      </c>
      <c r="C19" s="25">
        <v>135937</v>
      </c>
      <c r="D19" s="26">
        <v>4049377</v>
      </c>
    </row>
  </sheetData>
  <dataValidations count="2">
    <dataValidation type="custom" allowBlank="1" showDropDown="1" sqref="A2:A19" xr:uid="{00000000-0002-0000-0300-000000000000}">
      <formula1>OR(NOT(ISERROR(DATEVALUE(A2))), AND(ISNUMBER(A2), LEFT(CELL("format", A2))="D"))</formula1>
    </dataValidation>
    <dataValidation type="custom" allowBlank="1" showDropDown="1" sqref="B2:D19" xr:uid="{00000000-0002-0000-0300-000001000000}">
      <formula1>AND(ISNUMBER(B2),(NOT(OR(NOT(ISERROR(DATEVALUE(B2))), AND(ISNUMBER(B2), LEFT(CELL("format", B2))="D")))))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4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outlineLevelRow="1"/>
  <cols>
    <col min="1" max="1" width="26.7109375" customWidth="1"/>
    <col min="2" max="2" width="20" customWidth="1"/>
    <col min="3" max="4" width="23.85546875" customWidth="1"/>
    <col min="6" max="8" width="12.5703125" customWidth="1"/>
  </cols>
  <sheetData>
    <row r="1" spans="1:4" ht="30" customHeight="1">
      <c r="A1" s="4" t="s">
        <v>4</v>
      </c>
      <c r="B1" s="3" t="s">
        <v>5</v>
      </c>
      <c r="C1" s="3" t="s">
        <v>6</v>
      </c>
      <c r="D1" s="5" t="s">
        <v>7</v>
      </c>
    </row>
    <row r="2" spans="1:4" ht="24" customHeight="1">
      <c r="A2" s="39" t="s">
        <v>8</v>
      </c>
      <c r="B2" s="40">
        <v>270</v>
      </c>
      <c r="C2" s="40">
        <v>48</v>
      </c>
      <c r="D2" s="41">
        <v>17.78</v>
      </c>
    </row>
    <row r="3" spans="1:4" ht="24" customHeight="1">
      <c r="A3" s="42" t="s">
        <v>9</v>
      </c>
      <c r="B3" s="43">
        <v>263</v>
      </c>
      <c r="C3" s="43">
        <v>60</v>
      </c>
      <c r="D3" s="44">
        <v>22.81</v>
      </c>
    </row>
    <row r="4" spans="1:4" ht="24" customHeight="1">
      <c r="A4" s="33" t="s">
        <v>10</v>
      </c>
      <c r="B4" s="34">
        <v>268</v>
      </c>
      <c r="C4" s="34">
        <v>88</v>
      </c>
      <c r="D4" s="35">
        <v>32.840000000000003</v>
      </c>
    </row>
    <row r="5" spans="1:4" ht="24" customHeight="1">
      <c r="A5" s="36" t="s">
        <v>11</v>
      </c>
      <c r="B5" s="37">
        <v>199</v>
      </c>
      <c r="C5" s="37">
        <v>65</v>
      </c>
      <c r="D5" s="38">
        <v>32.659999999999997</v>
      </c>
    </row>
    <row r="29" spans="1:2" ht="15.75" customHeight="1" collapsed="1"/>
    <row r="30" spans="1:2" ht="15.75" hidden="1" customHeight="1" outlineLevel="1">
      <c r="A30" t="s">
        <v>4</v>
      </c>
      <c r="B30" t="s">
        <v>12</v>
      </c>
    </row>
    <row r="31" spans="1:2" ht="15.75" hidden="1" customHeight="1" outlineLevel="1">
      <c r="A31" t="s">
        <v>8</v>
      </c>
      <c r="B31">
        <v>17.78</v>
      </c>
    </row>
    <row r="32" spans="1:2" ht="15.75" hidden="1" customHeight="1" outlineLevel="1">
      <c r="A32" t="s">
        <v>9</v>
      </c>
      <c r="B32">
        <v>22.81</v>
      </c>
    </row>
    <row r="33" spans="1:2" ht="15.75" hidden="1" customHeight="1" outlineLevel="1">
      <c r="A33" t="s">
        <v>10</v>
      </c>
      <c r="B33">
        <v>32.840000000000003</v>
      </c>
    </row>
    <row r="34" spans="1:2" ht="15.75" hidden="1" customHeight="1" outlineLevel="1">
      <c r="A34" t="s">
        <v>11</v>
      </c>
      <c r="B34">
        <v>32.659999999999997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4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outlineLevelCol="1"/>
  <cols>
    <col min="1" max="1" width="22.85546875" customWidth="1"/>
    <col min="2" max="2" width="25.7109375" customWidth="1"/>
    <col min="3" max="4" width="22.85546875" customWidth="1"/>
    <col min="6" max="8" width="12.5703125" outlineLevel="1"/>
  </cols>
  <sheetData>
    <row r="1" spans="1:26" ht="30" customHeight="1">
      <c r="A1" s="45" t="s">
        <v>13</v>
      </c>
      <c r="B1" s="46" t="s">
        <v>14</v>
      </c>
      <c r="C1" s="46" t="s">
        <v>15</v>
      </c>
      <c r="D1" s="47" t="s">
        <v>16</v>
      </c>
      <c r="E1" s="2"/>
      <c r="F1" s="2" t="s">
        <v>13</v>
      </c>
      <c r="G1" s="2" t="s">
        <v>17</v>
      </c>
      <c r="H1" s="2" t="s">
        <v>18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48" t="s">
        <v>19</v>
      </c>
      <c r="B2" s="49">
        <v>22</v>
      </c>
      <c r="C2" s="50">
        <v>1665735</v>
      </c>
      <c r="D2" s="51">
        <v>75715.23</v>
      </c>
      <c r="E2" s="1"/>
      <c r="F2" s="1" t="s">
        <v>19</v>
      </c>
      <c r="G2" s="1">
        <v>1665735</v>
      </c>
      <c r="H2" s="1">
        <v>22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52" t="s">
        <v>20</v>
      </c>
      <c r="B3" s="53">
        <v>31</v>
      </c>
      <c r="C3" s="54">
        <v>1984250</v>
      </c>
      <c r="D3" s="55">
        <v>64008.06</v>
      </c>
      <c r="E3" s="1"/>
      <c r="F3" s="1" t="s">
        <v>20</v>
      </c>
      <c r="G3" s="1">
        <v>1984250</v>
      </c>
      <c r="H3" s="1">
        <v>31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56" t="s">
        <v>21</v>
      </c>
      <c r="B4" s="57">
        <v>23</v>
      </c>
      <c r="C4" s="58">
        <v>1811277</v>
      </c>
      <c r="D4" s="59">
        <v>78751.17</v>
      </c>
      <c r="E4" s="1"/>
      <c r="F4" s="1" t="s">
        <v>21</v>
      </c>
      <c r="G4" s="1">
        <v>1811277</v>
      </c>
      <c r="H4" s="1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52" t="s">
        <v>22</v>
      </c>
      <c r="B5" s="53">
        <v>28</v>
      </c>
      <c r="C5" s="54">
        <v>1794261</v>
      </c>
      <c r="D5" s="55">
        <v>64080.75</v>
      </c>
      <c r="E5" s="1"/>
      <c r="F5" s="1" t="s">
        <v>22</v>
      </c>
      <c r="G5" s="1">
        <v>1794261</v>
      </c>
      <c r="H5" s="1">
        <v>28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56" t="s">
        <v>23</v>
      </c>
      <c r="B6" s="57">
        <v>56</v>
      </c>
      <c r="C6" s="58">
        <v>4049377</v>
      </c>
      <c r="D6" s="59">
        <v>72310.3</v>
      </c>
      <c r="E6" s="1"/>
      <c r="F6" s="1" t="s">
        <v>23</v>
      </c>
      <c r="G6" s="1">
        <v>4049377</v>
      </c>
      <c r="H6" s="1">
        <v>56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60" t="s">
        <v>24</v>
      </c>
      <c r="B7" s="61">
        <v>101</v>
      </c>
      <c r="C7" s="62">
        <v>7533997</v>
      </c>
      <c r="D7" s="63">
        <v>74594.03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F8" t="s">
        <v>13</v>
      </c>
      <c r="G8" t="s">
        <v>25</v>
      </c>
    </row>
    <row r="9" spans="1:26" ht="15.75" customHeight="1">
      <c r="F9" t="s">
        <v>19</v>
      </c>
      <c r="G9">
        <v>75715</v>
      </c>
    </row>
    <row r="10" spans="1:26" ht="15.75" customHeight="1">
      <c r="F10" t="s">
        <v>20</v>
      </c>
      <c r="G10">
        <v>64008</v>
      </c>
    </row>
    <row r="11" spans="1:26" ht="15.75" customHeight="1">
      <c r="F11" t="s">
        <v>21</v>
      </c>
      <c r="G11">
        <v>78751</v>
      </c>
    </row>
    <row r="12" spans="1:26" ht="15.75" customHeight="1">
      <c r="F12" t="s">
        <v>22</v>
      </c>
      <c r="G12">
        <v>64081</v>
      </c>
    </row>
    <row r="13" spans="1:26" ht="15.75" customHeight="1">
      <c r="F13" t="s">
        <v>23</v>
      </c>
      <c r="G13">
        <v>72310</v>
      </c>
    </row>
    <row r="14" spans="1:26" ht="15.75" customHeight="1">
      <c r="F14" t="s">
        <v>24</v>
      </c>
      <c r="G14">
        <v>74594</v>
      </c>
    </row>
  </sheetData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outlineLevelCol="1"/>
  <cols>
    <col min="1" max="1" width="9.5703125" customWidth="1"/>
    <col min="2" max="2" width="26.7109375" customWidth="1"/>
    <col min="3" max="3" width="21" customWidth="1"/>
    <col min="4" max="5" width="16.140625" customWidth="1"/>
    <col min="6" max="6" width="15.28515625" customWidth="1"/>
    <col min="7" max="7" width="20" customWidth="1"/>
    <col min="9" max="11" width="12.5703125" outlineLevel="1"/>
  </cols>
  <sheetData>
    <row r="1" spans="1:11" ht="30" customHeight="1">
      <c r="A1" s="4" t="s">
        <v>26</v>
      </c>
      <c r="B1" s="3" t="s">
        <v>27</v>
      </c>
      <c r="C1" s="3" t="s">
        <v>2</v>
      </c>
      <c r="D1" s="3" t="s">
        <v>28</v>
      </c>
      <c r="E1" s="3" t="s">
        <v>29</v>
      </c>
      <c r="F1" s="3" t="s">
        <v>30</v>
      </c>
      <c r="G1" s="5" t="s">
        <v>16</v>
      </c>
      <c r="I1" t="s">
        <v>31</v>
      </c>
      <c r="J1" t="s">
        <v>32</v>
      </c>
      <c r="K1" t="s">
        <v>33</v>
      </c>
    </row>
    <row r="2" spans="1:11" ht="24" customHeight="1">
      <c r="A2" s="31">
        <v>1</v>
      </c>
      <c r="B2" s="64" t="s">
        <v>34</v>
      </c>
      <c r="C2" s="8">
        <v>771251</v>
      </c>
      <c r="D2" s="7">
        <v>8</v>
      </c>
      <c r="E2" s="7">
        <v>13</v>
      </c>
      <c r="F2" s="65">
        <v>38.1</v>
      </c>
      <c r="G2" s="9">
        <f>C2/D2</f>
        <v>96406.375</v>
      </c>
      <c r="I2" t="s">
        <v>35</v>
      </c>
      <c r="J2">
        <v>771251</v>
      </c>
      <c r="K2">
        <v>38.1</v>
      </c>
    </row>
    <row r="3" spans="1:11" ht="24" customHeight="1">
      <c r="A3" s="32">
        <v>2</v>
      </c>
      <c r="B3" s="66" t="s">
        <v>36</v>
      </c>
      <c r="C3" s="18">
        <v>731121</v>
      </c>
      <c r="D3" s="17">
        <v>11</v>
      </c>
      <c r="E3" s="17">
        <v>8</v>
      </c>
      <c r="F3" s="67">
        <v>57.89</v>
      </c>
      <c r="G3" s="19">
        <f>C3/D3</f>
        <v>66465.545454545456</v>
      </c>
      <c r="I3" t="s">
        <v>37</v>
      </c>
      <c r="J3">
        <v>731121</v>
      </c>
      <c r="K3">
        <v>57.89</v>
      </c>
    </row>
    <row r="4" spans="1:11" ht="24" customHeight="1">
      <c r="A4" s="33">
        <v>3</v>
      </c>
      <c r="B4" s="68" t="s">
        <v>38</v>
      </c>
      <c r="C4" s="21">
        <v>419556</v>
      </c>
      <c r="D4" s="20">
        <v>6</v>
      </c>
      <c r="E4" s="20">
        <v>9</v>
      </c>
      <c r="F4" s="69">
        <v>40</v>
      </c>
      <c r="G4" s="22">
        <f>C4/D4</f>
        <v>69926</v>
      </c>
      <c r="I4" t="s">
        <v>39</v>
      </c>
      <c r="J4">
        <v>419556</v>
      </c>
      <c r="K4">
        <v>40</v>
      </c>
    </row>
    <row r="5" spans="1:11" ht="24" customHeight="1">
      <c r="A5" s="32">
        <v>4</v>
      </c>
      <c r="B5" s="66" t="s">
        <v>40</v>
      </c>
      <c r="C5" s="18">
        <v>370032</v>
      </c>
      <c r="D5" s="17">
        <v>8</v>
      </c>
      <c r="E5" s="17">
        <v>9</v>
      </c>
      <c r="F5" s="67">
        <v>47.06</v>
      </c>
      <c r="G5" s="19">
        <f>C5/D5</f>
        <v>46254</v>
      </c>
      <c r="I5" t="s">
        <v>41</v>
      </c>
      <c r="J5">
        <v>370032</v>
      </c>
      <c r="K5">
        <v>47.06</v>
      </c>
    </row>
    <row r="6" spans="1:11" ht="24" customHeight="1">
      <c r="A6" s="33">
        <v>5</v>
      </c>
      <c r="B6" s="68" t="s">
        <v>42</v>
      </c>
      <c r="C6" s="21">
        <v>325350</v>
      </c>
      <c r="D6" s="20">
        <v>3</v>
      </c>
      <c r="E6" s="20">
        <v>13</v>
      </c>
      <c r="F6" s="69">
        <v>18.75</v>
      </c>
      <c r="G6" s="22">
        <f>C6/D6</f>
        <v>108450</v>
      </c>
      <c r="I6" t="s">
        <v>43</v>
      </c>
      <c r="J6">
        <v>325350</v>
      </c>
      <c r="K6">
        <v>18.75</v>
      </c>
    </row>
    <row r="7" spans="1:11" ht="24" customHeight="1">
      <c r="A7" s="32">
        <v>6</v>
      </c>
      <c r="B7" s="66" t="s">
        <v>44</v>
      </c>
      <c r="C7" s="18">
        <v>324411</v>
      </c>
      <c r="D7" s="17">
        <v>4</v>
      </c>
      <c r="E7" s="17">
        <v>10</v>
      </c>
      <c r="F7" s="67">
        <v>28.57</v>
      </c>
      <c r="G7" s="19">
        <f>C7/D7</f>
        <v>81102.75</v>
      </c>
      <c r="I7" t="s">
        <v>45</v>
      </c>
      <c r="J7">
        <v>324411</v>
      </c>
      <c r="K7">
        <v>28.57</v>
      </c>
    </row>
    <row r="8" spans="1:11" ht="24" customHeight="1">
      <c r="A8" s="33">
        <v>7</v>
      </c>
      <c r="B8" s="68" t="s">
        <v>46</v>
      </c>
      <c r="C8" s="21">
        <v>308929</v>
      </c>
      <c r="D8" s="20">
        <v>4</v>
      </c>
      <c r="E8" s="20">
        <v>7</v>
      </c>
      <c r="F8" s="69">
        <v>36.36</v>
      </c>
      <c r="G8" s="22">
        <f>C8/D8</f>
        <v>77232.25</v>
      </c>
      <c r="I8" t="s">
        <v>47</v>
      </c>
      <c r="J8">
        <v>308929</v>
      </c>
      <c r="K8">
        <v>36.36</v>
      </c>
    </row>
    <row r="9" spans="1:11" ht="24" customHeight="1">
      <c r="A9" s="32">
        <v>8</v>
      </c>
      <c r="B9" s="66" t="s">
        <v>48</v>
      </c>
      <c r="C9" s="18">
        <v>305094</v>
      </c>
      <c r="D9" s="17">
        <v>5</v>
      </c>
      <c r="E9" s="17">
        <v>14</v>
      </c>
      <c r="F9" s="67">
        <v>26.32</v>
      </c>
      <c r="G9" s="19">
        <f>C9/D9</f>
        <v>61018.8</v>
      </c>
      <c r="I9" t="s">
        <v>49</v>
      </c>
      <c r="J9">
        <v>305094</v>
      </c>
      <c r="K9">
        <v>26.32</v>
      </c>
    </row>
    <row r="10" spans="1:11" ht="24" customHeight="1">
      <c r="A10" s="33">
        <v>9</v>
      </c>
      <c r="B10" s="68" t="s">
        <v>50</v>
      </c>
      <c r="C10" s="21">
        <v>281365</v>
      </c>
      <c r="D10" s="20">
        <v>3</v>
      </c>
      <c r="E10" s="20">
        <v>9</v>
      </c>
      <c r="F10" s="69">
        <v>25</v>
      </c>
      <c r="G10" s="22">
        <f>C10/D10</f>
        <v>93788.333333333328</v>
      </c>
      <c r="I10" t="s">
        <v>51</v>
      </c>
      <c r="J10">
        <v>281365</v>
      </c>
      <c r="K10">
        <v>25</v>
      </c>
    </row>
    <row r="11" spans="1:11" ht="24" customHeight="1">
      <c r="A11" s="36">
        <v>10</v>
      </c>
      <c r="B11" s="70" t="s">
        <v>52</v>
      </c>
      <c r="C11" s="11">
        <v>212268</v>
      </c>
      <c r="D11" s="10">
        <v>4</v>
      </c>
      <c r="E11" s="10">
        <v>9</v>
      </c>
      <c r="F11" s="71">
        <v>30.77</v>
      </c>
      <c r="G11" s="12">
        <f>C11/D11</f>
        <v>53067</v>
      </c>
      <c r="I11" t="s">
        <v>53</v>
      </c>
      <c r="J11">
        <v>212268</v>
      </c>
      <c r="K11">
        <v>30.77</v>
      </c>
    </row>
  </sheetData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77"/>
  <sheetViews>
    <sheetView workbookViewId="0">
      <pane ySplit="17" topLeftCell="B18" activePane="bottomLeft" state="frozen"/>
      <selection pane="bottomLeft" activeCell="I2" sqref="I2:J2"/>
    </sheetView>
  </sheetViews>
  <sheetFormatPr defaultColWidth="12.5703125" defaultRowHeight="15.75" customHeight="1" outlineLevelCol="2"/>
  <cols>
    <col min="1" max="2" width="10.42578125" customWidth="1"/>
    <col min="3" max="3" width="24.7109375" customWidth="1"/>
    <col min="4" max="4" width="14.28515625" customWidth="1"/>
    <col min="5" max="5" width="17.140625" customWidth="1"/>
    <col min="6" max="7" width="15.28515625" customWidth="1"/>
    <col min="8" max="8" width="49.5703125" customWidth="1"/>
    <col min="10" max="11" width="12.5703125" outlineLevel="2"/>
    <col min="12" max="12" width="12.5703125" outlineLevel="1"/>
  </cols>
  <sheetData>
    <row r="1" spans="1:11" ht="27.75" customHeight="1">
      <c r="A1" s="72" t="s">
        <v>54</v>
      </c>
      <c r="B1" s="73"/>
      <c r="C1" s="73"/>
      <c r="D1" s="73"/>
      <c r="E1" s="73"/>
      <c r="F1" s="73"/>
      <c r="G1" s="73"/>
      <c r="H1" s="73"/>
      <c r="J1" t="s">
        <v>31</v>
      </c>
      <c r="K1" t="s">
        <v>55</v>
      </c>
    </row>
    <row r="2" spans="1:11" ht="15.75" customHeight="1">
      <c r="A2" s="74" t="s">
        <v>56</v>
      </c>
      <c r="B2" s="73"/>
      <c r="C2" s="73"/>
      <c r="D2" s="73"/>
      <c r="E2" s="73"/>
      <c r="F2" s="73"/>
      <c r="G2" s="73"/>
      <c r="H2" s="73"/>
      <c r="J2" t="s">
        <v>37</v>
      </c>
      <c r="K2" s="91">
        <f>C8</f>
        <v>1496378</v>
      </c>
    </row>
    <row r="3" spans="1:11" ht="15.75" customHeight="1">
      <c r="A3" s="73"/>
      <c r="B3" s="73"/>
      <c r="C3" s="73"/>
      <c r="D3" s="73"/>
      <c r="E3" s="73"/>
      <c r="F3" s="73"/>
      <c r="G3" s="73"/>
      <c r="H3" s="73"/>
      <c r="J3" t="s">
        <v>41</v>
      </c>
      <c r="K3" s="91">
        <f>C9</f>
        <v>1261299</v>
      </c>
    </row>
    <row r="4" spans="1:11" ht="21.75" customHeight="1">
      <c r="A4" s="75" t="s">
        <v>57</v>
      </c>
      <c r="B4" s="73"/>
      <c r="C4" s="75" t="s">
        <v>58</v>
      </c>
      <c r="D4" s="73"/>
      <c r="E4" s="75" t="s">
        <v>16</v>
      </c>
      <c r="F4" s="73"/>
      <c r="G4" s="75" t="s">
        <v>59</v>
      </c>
      <c r="H4" s="73"/>
      <c r="J4" t="s">
        <v>39</v>
      </c>
      <c r="K4" s="91">
        <f>C12</f>
        <v>1454524</v>
      </c>
    </row>
    <row r="5" spans="1:11" ht="35.25" customHeight="1">
      <c r="A5" s="76">
        <f>COUNTA(A18:A177)</f>
        <v>160</v>
      </c>
      <c r="B5" s="73"/>
      <c r="C5" s="77">
        <f>SUM(E18:E177)</f>
        <v>11304900</v>
      </c>
      <c r="D5" s="73"/>
      <c r="E5" s="77">
        <f>AVERAGE(E18:E177)</f>
        <v>70655.625</v>
      </c>
      <c r="F5" s="73"/>
      <c r="G5" s="78">
        <f>AVERAGE(G18:G177)</f>
        <v>501.5</v>
      </c>
      <c r="H5" s="73"/>
      <c r="J5" t="s">
        <v>35</v>
      </c>
      <c r="K5" s="91">
        <f>C11</f>
        <v>1296473</v>
      </c>
    </row>
    <row r="6" spans="1:11" ht="15.75" customHeight="1">
      <c r="A6" s="73"/>
      <c r="B6" s="73"/>
      <c r="C6" s="73"/>
      <c r="D6" s="73"/>
      <c r="E6" s="73"/>
      <c r="F6" s="73"/>
      <c r="G6" s="73"/>
      <c r="H6" s="73"/>
      <c r="J6" t="s">
        <v>45</v>
      </c>
      <c r="K6" s="91">
        <f>C10</f>
        <v>1162388</v>
      </c>
    </row>
    <row r="7" spans="1:11" ht="15.75" customHeight="1">
      <c r="A7" s="75" t="s">
        <v>31</v>
      </c>
      <c r="B7" s="75" t="s">
        <v>60</v>
      </c>
      <c r="C7" s="75" t="s">
        <v>58</v>
      </c>
      <c r="D7" s="73"/>
      <c r="E7" s="73"/>
      <c r="F7" s="73"/>
      <c r="G7" s="73"/>
      <c r="H7" s="73"/>
      <c r="J7" t="s">
        <v>51</v>
      </c>
      <c r="K7" s="91">
        <f>C16</f>
        <v>1032184</v>
      </c>
    </row>
    <row r="8" spans="1:11" ht="15.75" customHeight="1">
      <c r="A8" s="79" t="s">
        <v>36</v>
      </c>
      <c r="B8" s="80">
        <f>COUNTIF(C18:C177,A8)</f>
        <v>22</v>
      </c>
      <c r="C8" s="81">
        <f>SUMIF(C18:C177,A8,E18:E177)</f>
        <v>1496378</v>
      </c>
      <c r="D8" s="73"/>
      <c r="E8" s="73"/>
      <c r="F8" s="73"/>
      <c r="G8" s="73"/>
      <c r="H8" s="73"/>
      <c r="J8" t="s">
        <v>47</v>
      </c>
      <c r="K8" s="91">
        <f>C14</f>
        <v>1030342</v>
      </c>
    </row>
    <row r="9" spans="1:11" ht="15.75" customHeight="1">
      <c r="A9" s="82" t="s">
        <v>40</v>
      </c>
      <c r="B9" s="83">
        <f>COUNTIF(C18:C177,A9)</f>
        <v>24</v>
      </c>
      <c r="C9" s="84">
        <f>SUMIF(C18:C177,A9,E18:E177)</f>
        <v>1261299</v>
      </c>
      <c r="D9" s="73"/>
      <c r="E9" s="73"/>
      <c r="F9" s="73"/>
      <c r="G9" s="73"/>
      <c r="H9" s="73"/>
      <c r="J9" t="s">
        <v>49</v>
      </c>
      <c r="K9" s="91">
        <f>C15</f>
        <v>960755</v>
      </c>
    </row>
    <row r="10" spans="1:11" ht="15.75" customHeight="1">
      <c r="A10" s="79" t="s">
        <v>44</v>
      </c>
      <c r="B10" s="80">
        <f>COUNTIF(C18:C177,A10)</f>
        <v>16</v>
      </c>
      <c r="C10" s="81">
        <f>SUMIF(C18:C177,A10,E18:E177)</f>
        <v>1162388</v>
      </c>
      <c r="D10" s="73"/>
      <c r="E10" s="73"/>
      <c r="F10" s="73"/>
      <c r="G10" s="73"/>
      <c r="H10" s="73"/>
      <c r="J10" t="s">
        <v>53</v>
      </c>
      <c r="K10" s="91">
        <f>C13</f>
        <v>865888</v>
      </c>
    </row>
    <row r="11" spans="1:11" ht="15.75" customHeight="1">
      <c r="A11" s="82" t="s">
        <v>34</v>
      </c>
      <c r="B11" s="83">
        <f>COUNTIF(C18:C177,A11)</f>
        <v>16</v>
      </c>
      <c r="C11" s="84">
        <f>SUMIF(C18:C177,A11,E18:E177)</f>
        <v>1296473</v>
      </c>
      <c r="D11" s="73"/>
      <c r="E11" s="73"/>
      <c r="F11" s="73"/>
      <c r="G11" s="73"/>
      <c r="H11" s="73"/>
      <c r="J11" t="s">
        <v>43</v>
      </c>
      <c r="K11">
        <f>SUMIF(C18:C177,"David Kim",E18:E177)</f>
        <v>744669</v>
      </c>
    </row>
    <row r="12" spans="1:11" ht="15.75" customHeight="1">
      <c r="A12" s="79" t="s">
        <v>38</v>
      </c>
      <c r="B12" s="80">
        <f>COUNTIF(C18:C177,A12)</f>
        <v>17</v>
      </c>
      <c r="C12" s="81">
        <f>SUMIF(C18:C177,A12,E18:E177)</f>
        <v>1454524</v>
      </c>
      <c r="D12" s="73"/>
      <c r="E12" s="73"/>
      <c r="F12" s="73"/>
      <c r="G12" s="73"/>
      <c r="H12" s="73"/>
    </row>
    <row r="13" spans="1:11" ht="15.75" customHeight="1">
      <c r="A13" s="82" t="s">
        <v>52</v>
      </c>
      <c r="B13" s="83">
        <f>COUNTIF(C18:C177,A13)</f>
        <v>15</v>
      </c>
      <c r="C13" s="84">
        <f>SUMIF(C18:C177,A13,E18:E177)</f>
        <v>865888</v>
      </c>
      <c r="D13" s="73"/>
      <c r="E13" s="73"/>
      <c r="F13" s="73"/>
      <c r="G13" s="73"/>
      <c r="H13" s="73"/>
    </row>
    <row r="14" spans="1:11" ht="15.75" customHeight="1">
      <c r="A14" s="79" t="s">
        <v>46</v>
      </c>
      <c r="B14" s="80">
        <f>COUNTIF(C18:C177,A14)</f>
        <v>14</v>
      </c>
      <c r="C14" s="81">
        <f>SUMIF(C18:C177,A14,E18:E177)</f>
        <v>1030342</v>
      </c>
      <c r="D14" s="73"/>
      <c r="E14" s="73"/>
      <c r="F14" s="73"/>
      <c r="G14" s="73"/>
      <c r="H14" s="73"/>
    </row>
    <row r="15" spans="1:11" ht="15.75" customHeight="1">
      <c r="A15" s="82" t="s">
        <v>48</v>
      </c>
      <c r="B15" s="83">
        <f>COUNTIF(C18:C177,A15)</f>
        <v>12</v>
      </c>
      <c r="C15" s="84">
        <f>SUMIF(C18:C177,A15,E18:E177)</f>
        <v>960755</v>
      </c>
      <c r="D15" s="73"/>
      <c r="E15" s="73"/>
      <c r="F15" s="73"/>
      <c r="G15" s="73"/>
      <c r="H15" s="73"/>
    </row>
    <row r="16" spans="1:11" ht="15.75" customHeight="1">
      <c r="A16" s="79" t="s">
        <v>50</v>
      </c>
      <c r="B16" s="80">
        <f>COUNTIF(C18:C177,A16)</f>
        <v>13</v>
      </c>
      <c r="C16" s="81">
        <f>SUMIF(C18:C177,A16,E18:E177)</f>
        <v>1032184</v>
      </c>
      <c r="D16" s="73"/>
      <c r="E16" s="73"/>
      <c r="F16" s="73"/>
      <c r="G16" s="73"/>
      <c r="H16" s="73"/>
    </row>
    <row r="17" spans="1:8" ht="24.75" customHeight="1">
      <c r="A17" s="89" t="s">
        <v>61</v>
      </c>
      <c r="B17" s="89" t="s">
        <v>62</v>
      </c>
      <c r="C17" s="90" t="s">
        <v>27</v>
      </c>
      <c r="D17" s="89" t="s">
        <v>63</v>
      </c>
      <c r="E17" s="89" t="s">
        <v>64</v>
      </c>
      <c r="F17" s="89" t="s">
        <v>65</v>
      </c>
      <c r="G17" s="89" t="s">
        <v>66</v>
      </c>
      <c r="H17" s="89" t="s">
        <v>67</v>
      </c>
    </row>
    <row r="18" spans="1:8" ht="13.5">
      <c r="A18" s="80">
        <v>120</v>
      </c>
      <c r="B18" s="80">
        <v>1</v>
      </c>
      <c r="C18" s="79" t="s">
        <v>50</v>
      </c>
      <c r="D18" s="80">
        <v>4</v>
      </c>
      <c r="E18" s="81">
        <v>197758</v>
      </c>
      <c r="F18" s="85">
        <v>25</v>
      </c>
      <c r="G18" s="86">
        <v>366</v>
      </c>
      <c r="H18" s="79" t="s">
        <v>68</v>
      </c>
    </row>
    <row r="19" spans="1:8" ht="13.5">
      <c r="A19" s="83">
        <v>11</v>
      </c>
      <c r="B19" s="83">
        <v>10</v>
      </c>
      <c r="C19" s="82" t="s">
        <v>44</v>
      </c>
      <c r="D19" s="83">
        <v>8</v>
      </c>
      <c r="E19" s="84">
        <v>49247</v>
      </c>
      <c r="F19" s="87">
        <v>25</v>
      </c>
      <c r="G19" s="88">
        <v>507</v>
      </c>
      <c r="H19" s="82" t="s">
        <v>68</v>
      </c>
    </row>
    <row r="20" spans="1:8" ht="13.5">
      <c r="A20" s="80">
        <v>185</v>
      </c>
      <c r="B20" s="80">
        <v>10</v>
      </c>
      <c r="C20" s="79" t="s">
        <v>44</v>
      </c>
      <c r="D20" s="80">
        <v>8</v>
      </c>
      <c r="E20" s="81">
        <v>44449</v>
      </c>
      <c r="F20" s="85">
        <v>75</v>
      </c>
      <c r="G20" s="86">
        <v>302</v>
      </c>
      <c r="H20" s="79" t="s">
        <v>68</v>
      </c>
    </row>
    <row r="21" spans="1:8" ht="13.5">
      <c r="A21" s="83">
        <v>63</v>
      </c>
      <c r="B21" s="83">
        <v>3</v>
      </c>
      <c r="C21" s="82" t="s">
        <v>52</v>
      </c>
      <c r="D21" s="83">
        <v>9</v>
      </c>
      <c r="E21" s="84">
        <v>33244</v>
      </c>
      <c r="F21" s="87">
        <v>100</v>
      </c>
      <c r="G21" s="88">
        <v>683</v>
      </c>
      <c r="H21" s="82" t="s">
        <v>68</v>
      </c>
    </row>
    <row r="22" spans="1:8" ht="13.5">
      <c r="A22" s="80">
        <v>61</v>
      </c>
      <c r="B22" s="80">
        <v>5</v>
      </c>
      <c r="C22" s="79" t="s">
        <v>34</v>
      </c>
      <c r="D22" s="80">
        <v>10</v>
      </c>
      <c r="E22" s="81">
        <v>5011</v>
      </c>
      <c r="F22" s="85">
        <v>50</v>
      </c>
      <c r="G22" s="86">
        <v>383</v>
      </c>
      <c r="H22" s="79" t="s">
        <v>68</v>
      </c>
    </row>
    <row r="23" spans="1:8" ht="13.5">
      <c r="A23" s="83">
        <v>215</v>
      </c>
      <c r="B23" s="83">
        <v>2</v>
      </c>
      <c r="C23" s="82" t="s">
        <v>36</v>
      </c>
      <c r="D23" s="83">
        <v>10</v>
      </c>
      <c r="E23" s="84">
        <v>84658</v>
      </c>
      <c r="F23" s="87">
        <v>75</v>
      </c>
      <c r="G23" s="88">
        <v>482</v>
      </c>
      <c r="H23" s="82" t="s">
        <v>68</v>
      </c>
    </row>
    <row r="24" spans="1:8" ht="13.5">
      <c r="A24" s="80">
        <v>89</v>
      </c>
      <c r="B24" s="80">
        <v>3</v>
      </c>
      <c r="C24" s="79" t="s">
        <v>52</v>
      </c>
      <c r="D24" s="80">
        <v>11</v>
      </c>
      <c r="E24" s="81">
        <v>93803</v>
      </c>
      <c r="F24" s="85">
        <v>100</v>
      </c>
      <c r="G24" s="86">
        <v>478</v>
      </c>
      <c r="H24" s="79" t="s">
        <v>68</v>
      </c>
    </row>
    <row r="25" spans="1:8" ht="13.5">
      <c r="A25" s="83">
        <v>56</v>
      </c>
      <c r="B25" s="83">
        <v>9</v>
      </c>
      <c r="C25" s="82" t="s">
        <v>46</v>
      </c>
      <c r="D25" s="83">
        <v>13</v>
      </c>
      <c r="E25" s="84">
        <v>152682</v>
      </c>
      <c r="F25" s="87">
        <v>100</v>
      </c>
      <c r="G25" s="88">
        <v>293</v>
      </c>
      <c r="H25" s="82" t="s">
        <v>68</v>
      </c>
    </row>
    <row r="26" spans="1:8" ht="13.5">
      <c r="A26" s="80">
        <v>155</v>
      </c>
      <c r="B26" s="80">
        <v>4</v>
      </c>
      <c r="C26" s="79" t="s">
        <v>42</v>
      </c>
      <c r="D26" s="80">
        <v>15</v>
      </c>
      <c r="E26" s="81">
        <v>25761</v>
      </c>
      <c r="F26" s="85">
        <v>10</v>
      </c>
      <c r="G26" s="86">
        <v>498</v>
      </c>
      <c r="H26" s="79" t="s">
        <v>68</v>
      </c>
    </row>
    <row r="27" spans="1:8" ht="13.5">
      <c r="A27" s="83">
        <v>191</v>
      </c>
      <c r="B27" s="83">
        <v>6</v>
      </c>
      <c r="C27" s="82" t="s">
        <v>40</v>
      </c>
      <c r="D27" s="83">
        <v>15</v>
      </c>
      <c r="E27" s="84">
        <v>6387</v>
      </c>
      <c r="F27" s="87">
        <v>100</v>
      </c>
      <c r="G27" s="88">
        <v>505</v>
      </c>
      <c r="H27" s="82" t="s">
        <v>68</v>
      </c>
    </row>
    <row r="28" spans="1:8" ht="13.5">
      <c r="A28" s="80">
        <v>151</v>
      </c>
      <c r="B28" s="80">
        <v>5</v>
      </c>
      <c r="C28" s="79" t="s">
        <v>34</v>
      </c>
      <c r="D28" s="80">
        <v>16</v>
      </c>
      <c r="E28" s="81">
        <v>44174</v>
      </c>
      <c r="F28" s="85">
        <v>10</v>
      </c>
      <c r="G28" s="86">
        <v>723</v>
      </c>
      <c r="H28" s="79" t="s">
        <v>68</v>
      </c>
    </row>
    <row r="29" spans="1:8" ht="13.5">
      <c r="A29" s="83">
        <v>223</v>
      </c>
      <c r="B29" s="83">
        <v>10</v>
      </c>
      <c r="C29" s="82" t="s">
        <v>44</v>
      </c>
      <c r="D29" s="83">
        <v>16</v>
      </c>
      <c r="E29" s="84">
        <v>98157</v>
      </c>
      <c r="F29" s="87">
        <v>25</v>
      </c>
      <c r="G29" s="88">
        <v>494</v>
      </c>
      <c r="H29" s="82" t="s">
        <v>68</v>
      </c>
    </row>
    <row r="30" spans="1:8" ht="13.5">
      <c r="A30" s="80">
        <v>131</v>
      </c>
      <c r="B30" s="80">
        <v>6</v>
      </c>
      <c r="C30" s="79" t="s">
        <v>40</v>
      </c>
      <c r="D30" s="80">
        <v>18</v>
      </c>
      <c r="E30" s="81">
        <v>99934</v>
      </c>
      <c r="F30" s="85">
        <v>10</v>
      </c>
      <c r="G30" s="86">
        <v>437</v>
      </c>
      <c r="H30" s="79" t="s">
        <v>68</v>
      </c>
    </row>
    <row r="31" spans="1:8" ht="13.5">
      <c r="A31" s="83">
        <v>90</v>
      </c>
      <c r="B31" s="83">
        <v>10</v>
      </c>
      <c r="C31" s="82" t="s">
        <v>44</v>
      </c>
      <c r="D31" s="83">
        <v>20</v>
      </c>
      <c r="E31" s="84">
        <v>13097</v>
      </c>
      <c r="F31" s="87">
        <v>10</v>
      </c>
      <c r="G31" s="88">
        <v>598</v>
      </c>
      <c r="H31" s="82" t="s">
        <v>68</v>
      </c>
    </row>
    <row r="32" spans="1:8" ht="13.5">
      <c r="A32" s="80">
        <v>101</v>
      </c>
      <c r="B32" s="80">
        <v>2</v>
      </c>
      <c r="C32" s="79" t="s">
        <v>36</v>
      </c>
      <c r="D32" s="80">
        <v>20</v>
      </c>
      <c r="E32" s="81">
        <v>63853</v>
      </c>
      <c r="F32" s="85">
        <v>75</v>
      </c>
      <c r="G32" s="86">
        <v>388</v>
      </c>
      <c r="H32" s="79" t="s">
        <v>68</v>
      </c>
    </row>
    <row r="33" spans="1:8" ht="13.5">
      <c r="A33" s="83">
        <v>149</v>
      </c>
      <c r="B33" s="83">
        <v>3</v>
      </c>
      <c r="C33" s="82" t="s">
        <v>52</v>
      </c>
      <c r="D33" s="83">
        <v>20</v>
      </c>
      <c r="E33" s="84">
        <v>118730</v>
      </c>
      <c r="F33" s="87">
        <v>50</v>
      </c>
      <c r="G33" s="88">
        <v>519</v>
      </c>
      <c r="H33" s="82" t="s">
        <v>68</v>
      </c>
    </row>
    <row r="34" spans="1:8" ht="13.5">
      <c r="A34" s="80">
        <v>70</v>
      </c>
      <c r="B34" s="80">
        <v>9</v>
      </c>
      <c r="C34" s="79" t="s">
        <v>46</v>
      </c>
      <c r="D34" s="80">
        <v>26</v>
      </c>
      <c r="E34" s="81">
        <v>13559</v>
      </c>
      <c r="F34" s="85">
        <v>25</v>
      </c>
      <c r="G34" s="86">
        <v>559</v>
      </c>
      <c r="H34" s="79" t="s">
        <v>68</v>
      </c>
    </row>
    <row r="35" spans="1:8" ht="13.5">
      <c r="A35" s="83">
        <v>116</v>
      </c>
      <c r="B35" s="83">
        <v>7</v>
      </c>
      <c r="C35" s="82" t="s">
        <v>38</v>
      </c>
      <c r="D35" s="83">
        <v>27</v>
      </c>
      <c r="E35" s="84">
        <v>170369</v>
      </c>
      <c r="F35" s="87">
        <v>10</v>
      </c>
      <c r="G35" s="88">
        <v>398</v>
      </c>
      <c r="H35" s="82" t="s">
        <v>68</v>
      </c>
    </row>
    <row r="36" spans="1:8" ht="13.5">
      <c r="A36" s="80">
        <v>74</v>
      </c>
      <c r="B36" s="80">
        <v>2</v>
      </c>
      <c r="C36" s="79" t="s">
        <v>36</v>
      </c>
      <c r="D36" s="80">
        <v>32</v>
      </c>
      <c r="E36" s="81">
        <v>63841</v>
      </c>
      <c r="F36" s="85">
        <v>75</v>
      </c>
      <c r="G36" s="86">
        <v>405</v>
      </c>
      <c r="H36" s="79" t="s">
        <v>68</v>
      </c>
    </row>
    <row r="37" spans="1:8" ht="13.5">
      <c r="A37" s="83">
        <v>247</v>
      </c>
      <c r="B37" s="83">
        <v>2</v>
      </c>
      <c r="C37" s="82" t="s">
        <v>36</v>
      </c>
      <c r="D37" s="83">
        <v>41</v>
      </c>
      <c r="E37" s="84">
        <v>17526</v>
      </c>
      <c r="F37" s="87">
        <v>100</v>
      </c>
      <c r="G37" s="88">
        <v>618</v>
      </c>
      <c r="H37" s="82" t="s">
        <v>68</v>
      </c>
    </row>
    <row r="38" spans="1:8" ht="13.5">
      <c r="A38" s="80">
        <v>118</v>
      </c>
      <c r="B38" s="80">
        <v>3</v>
      </c>
      <c r="C38" s="79" t="s">
        <v>52</v>
      </c>
      <c r="D38" s="80">
        <v>44</v>
      </c>
      <c r="E38" s="81">
        <v>56422</v>
      </c>
      <c r="F38" s="85">
        <v>75</v>
      </c>
      <c r="G38" s="86">
        <v>264</v>
      </c>
      <c r="H38" s="79" t="s">
        <v>68</v>
      </c>
    </row>
    <row r="39" spans="1:8" ht="13.5">
      <c r="A39" s="83">
        <v>126</v>
      </c>
      <c r="B39" s="83">
        <v>5</v>
      </c>
      <c r="C39" s="82" t="s">
        <v>34</v>
      </c>
      <c r="D39" s="83">
        <v>44</v>
      </c>
      <c r="E39" s="84">
        <v>196573</v>
      </c>
      <c r="F39" s="87">
        <v>100</v>
      </c>
      <c r="G39" s="88">
        <v>701</v>
      </c>
      <c r="H39" s="82" t="s">
        <v>68</v>
      </c>
    </row>
    <row r="40" spans="1:8" ht="13.5">
      <c r="A40" s="80">
        <v>257</v>
      </c>
      <c r="B40" s="80">
        <v>1</v>
      </c>
      <c r="C40" s="79" t="s">
        <v>50</v>
      </c>
      <c r="D40" s="80">
        <v>46</v>
      </c>
      <c r="E40" s="81">
        <v>6288</v>
      </c>
      <c r="F40" s="85">
        <v>10</v>
      </c>
      <c r="G40" s="86">
        <v>510</v>
      </c>
      <c r="H40" s="79" t="s">
        <v>68</v>
      </c>
    </row>
    <row r="41" spans="1:8" ht="13.5">
      <c r="A41" s="83">
        <v>43</v>
      </c>
      <c r="B41" s="83">
        <v>2</v>
      </c>
      <c r="C41" s="82" t="s">
        <v>36</v>
      </c>
      <c r="D41" s="83">
        <v>50</v>
      </c>
      <c r="E41" s="84">
        <v>152663</v>
      </c>
      <c r="F41" s="87">
        <v>75</v>
      </c>
      <c r="G41" s="88">
        <v>257</v>
      </c>
      <c r="H41" s="82" t="s">
        <v>68</v>
      </c>
    </row>
    <row r="42" spans="1:8" ht="13.5">
      <c r="A42" s="80">
        <v>17</v>
      </c>
      <c r="B42" s="80">
        <v>2</v>
      </c>
      <c r="C42" s="79" t="s">
        <v>36</v>
      </c>
      <c r="D42" s="80">
        <v>52</v>
      </c>
      <c r="E42" s="81">
        <v>66738</v>
      </c>
      <c r="F42" s="85">
        <v>100</v>
      </c>
      <c r="G42" s="86">
        <v>389</v>
      </c>
      <c r="H42" s="79" t="s">
        <v>68</v>
      </c>
    </row>
    <row r="43" spans="1:8" ht="13.5">
      <c r="A43" s="83">
        <v>166</v>
      </c>
      <c r="B43" s="83">
        <v>1</v>
      </c>
      <c r="C43" s="82" t="s">
        <v>50</v>
      </c>
      <c r="D43" s="83">
        <v>53</v>
      </c>
      <c r="E43" s="84">
        <v>92496</v>
      </c>
      <c r="F43" s="87">
        <v>10</v>
      </c>
      <c r="G43" s="88">
        <v>703</v>
      </c>
      <c r="H43" s="82" t="s">
        <v>68</v>
      </c>
    </row>
    <row r="44" spans="1:8" ht="13.5">
      <c r="A44" s="80">
        <v>184</v>
      </c>
      <c r="B44" s="80">
        <v>8</v>
      </c>
      <c r="C44" s="79" t="s">
        <v>48</v>
      </c>
      <c r="D44" s="80">
        <v>53</v>
      </c>
      <c r="E44" s="81">
        <v>22016</v>
      </c>
      <c r="F44" s="85">
        <v>100</v>
      </c>
      <c r="G44" s="86">
        <v>485</v>
      </c>
      <c r="H44" s="79" t="s">
        <v>68</v>
      </c>
    </row>
    <row r="45" spans="1:8" ht="13.5">
      <c r="A45" s="83">
        <v>78</v>
      </c>
      <c r="B45" s="83">
        <v>2</v>
      </c>
      <c r="C45" s="82" t="s">
        <v>36</v>
      </c>
      <c r="D45" s="83">
        <v>54</v>
      </c>
      <c r="E45" s="84">
        <v>83320</v>
      </c>
      <c r="F45" s="87">
        <v>100</v>
      </c>
      <c r="G45" s="88">
        <v>506</v>
      </c>
      <c r="H45" s="82" t="s">
        <v>68</v>
      </c>
    </row>
    <row r="46" spans="1:8" ht="13.5">
      <c r="A46" s="80">
        <v>27</v>
      </c>
      <c r="B46" s="80">
        <v>7</v>
      </c>
      <c r="C46" s="79" t="s">
        <v>38</v>
      </c>
      <c r="D46" s="80">
        <v>61</v>
      </c>
      <c r="E46" s="81">
        <v>64830</v>
      </c>
      <c r="F46" s="85">
        <v>75</v>
      </c>
      <c r="G46" s="86">
        <v>469</v>
      </c>
      <c r="H46" s="79" t="s">
        <v>68</v>
      </c>
    </row>
    <row r="47" spans="1:8" ht="13.5">
      <c r="A47" s="83">
        <v>33</v>
      </c>
      <c r="B47" s="83">
        <v>3</v>
      </c>
      <c r="C47" s="82" t="s">
        <v>52</v>
      </c>
      <c r="D47" s="83">
        <v>61</v>
      </c>
      <c r="E47" s="84">
        <v>77576</v>
      </c>
      <c r="F47" s="87">
        <v>100</v>
      </c>
      <c r="G47" s="88">
        <v>723</v>
      </c>
      <c r="H47" s="82" t="s">
        <v>68</v>
      </c>
    </row>
    <row r="48" spans="1:8" ht="13.5">
      <c r="A48" s="80">
        <v>232</v>
      </c>
      <c r="B48" s="80">
        <v>5</v>
      </c>
      <c r="C48" s="79" t="s">
        <v>34</v>
      </c>
      <c r="D48" s="80">
        <v>63</v>
      </c>
      <c r="E48" s="81">
        <v>185186</v>
      </c>
      <c r="F48" s="85">
        <v>100</v>
      </c>
      <c r="G48" s="86">
        <v>747</v>
      </c>
      <c r="H48" s="79" t="s">
        <v>68</v>
      </c>
    </row>
    <row r="49" spans="1:8" ht="13.5">
      <c r="A49" s="83">
        <v>208</v>
      </c>
      <c r="B49" s="83">
        <v>7</v>
      </c>
      <c r="C49" s="82" t="s">
        <v>38</v>
      </c>
      <c r="D49" s="83">
        <v>66</v>
      </c>
      <c r="E49" s="84">
        <v>142720</v>
      </c>
      <c r="F49" s="87">
        <v>50</v>
      </c>
      <c r="G49" s="88">
        <v>775</v>
      </c>
      <c r="H49" s="82" t="s">
        <v>68</v>
      </c>
    </row>
    <row r="50" spans="1:8" ht="13.5">
      <c r="A50" s="80">
        <v>226</v>
      </c>
      <c r="B50" s="80">
        <v>5</v>
      </c>
      <c r="C50" s="79" t="s">
        <v>34</v>
      </c>
      <c r="D50" s="80">
        <v>66</v>
      </c>
      <c r="E50" s="81">
        <v>106751</v>
      </c>
      <c r="F50" s="85">
        <v>10</v>
      </c>
      <c r="G50" s="86">
        <v>707</v>
      </c>
      <c r="H50" s="79" t="s">
        <v>68</v>
      </c>
    </row>
    <row r="51" spans="1:8" ht="13.5">
      <c r="A51" s="83">
        <v>194</v>
      </c>
      <c r="B51" s="83">
        <v>5</v>
      </c>
      <c r="C51" s="82" t="s">
        <v>34</v>
      </c>
      <c r="D51" s="83">
        <v>70</v>
      </c>
      <c r="E51" s="84">
        <v>79209</v>
      </c>
      <c r="F51" s="87">
        <v>100</v>
      </c>
      <c r="G51" s="88">
        <v>260</v>
      </c>
      <c r="H51" s="82" t="s">
        <v>68</v>
      </c>
    </row>
    <row r="52" spans="1:8" ht="13.5">
      <c r="A52" s="80">
        <v>228</v>
      </c>
      <c r="B52" s="80">
        <v>7</v>
      </c>
      <c r="C52" s="79" t="s">
        <v>38</v>
      </c>
      <c r="D52" s="80">
        <v>71</v>
      </c>
      <c r="E52" s="81">
        <v>184471</v>
      </c>
      <c r="F52" s="85">
        <v>10</v>
      </c>
      <c r="G52" s="86">
        <v>344</v>
      </c>
      <c r="H52" s="79" t="s">
        <v>68</v>
      </c>
    </row>
    <row r="53" spans="1:8" ht="13.5">
      <c r="A53" s="83">
        <v>174</v>
      </c>
      <c r="B53" s="83">
        <v>8</v>
      </c>
      <c r="C53" s="82" t="s">
        <v>48</v>
      </c>
      <c r="D53" s="83">
        <v>74</v>
      </c>
      <c r="E53" s="84">
        <v>33352</v>
      </c>
      <c r="F53" s="87">
        <v>100</v>
      </c>
      <c r="G53" s="88">
        <v>425</v>
      </c>
      <c r="H53" s="82" t="s">
        <v>68</v>
      </c>
    </row>
    <row r="54" spans="1:8" ht="13.5">
      <c r="A54" s="80">
        <v>231</v>
      </c>
      <c r="B54" s="80">
        <v>6</v>
      </c>
      <c r="C54" s="79" t="s">
        <v>40</v>
      </c>
      <c r="D54" s="80">
        <v>75</v>
      </c>
      <c r="E54" s="81">
        <v>73314</v>
      </c>
      <c r="F54" s="85">
        <v>10</v>
      </c>
      <c r="G54" s="86">
        <v>429</v>
      </c>
      <c r="H54" s="79" t="s">
        <v>68</v>
      </c>
    </row>
    <row r="55" spans="1:8" ht="13.5">
      <c r="A55" s="83">
        <v>176</v>
      </c>
      <c r="B55" s="83">
        <v>8</v>
      </c>
      <c r="C55" s="82" t="s">
        <v>48</v>
      </c>
      <c r="D55" s="83">
        <v>77</v>
      </c>
      <c r="E55" s="84">
        <v>63610</v>
      </c>
      <c r="F55" s="87">
        <v>75</v>
      </c>
      <c r="G55" s="88">
        <v>727</v>
      </c>
      <c r="H55" s="82" t="s">
        <v>68</v>
      </c>
    </row>
    <row r="56" spans="1:8" ht="13.5">
      <c r="A56" s="80">
        <v>192</v>
      </c>
      <c r="B56" s="80">
        <v>7</v>
      </c>
      <c r="C56" s="79" t="s">
        <v>38</v>
      </c>
      <c r="D56" s="80">
        <v>77</v>
      </c>
      <c r="E56" s="81">
        <v>69309</v>
      </c>
      <c r="F56" s="85">
        <v>100</v>
      </c>
      <c r="G56" s="86">
        <v>473</v>
      </c>
      <c r="H56" s="79" t="s">
        <v>68</v>
      </c>
    </row>
    <row r="57" spans="1:8" ht="13.5">
      <c r="A57" s="83">
        <v>32</v>
      </c>
      <c r="B57" s="83">
        <v>6</v>
      </c>
      <c r="C57" s="82" t="s">
        <v>40</v>
      </c>
      <c r="D57" s="83">
        <v>87</v>
      </c>
      <c r="E57" s="84">
        <v>22993</v>
      </c>
      <c r="F57" s="87">
        <v>100</v>
      </c>
      <c r="G57" s="88">
        <v>597</v>
      </c>
      <c r="H57" s="82" t="s">
        <v>68</v>
      </c>
    </row>
    <row r="58" spans="1:8" ht="13.5">
      <c r="A58" s="80">
        <v>238</v>
      </c>
      <c r="B58" s="80">
        <v>4</v>
      </c>
      <c r="C58" s="79" t="s">
        <v>42</v>
      </c>
      <c r="D58" s="80">
        <v>87</v>
      </c>
      <c r="E58" s="81">
        <v>55660</v>
      </c>
      <c r="F58" s="85">
        <v>75</v>
      </c>
      <c r="G58" s="86">
        <v>311</v>
      </c>
      <c r="H58" s="79" t="s">
        <v>68</v>
      </c>
    </row>
    <row r="59" spans="1:8" ht="13.5">
      <c r="A59" s="83">
        <v>114</v>
      </c>
      <c r="B59" s="83">
        <v>6</v>
      </c>
      <c r="C59" s="82" t="s">
        <v>40</v>
      </c>
      <c r="D59" s="83">
        <v>89</v>
      </c>
      <c r="E59" s="84">
        <v>11297</v>
      </c>
      <c r="F59" s="87">
        <v>75</v>
      </c>
      <c r="G59" s="88">
        <v>589</v>
      </c>
      <c r="H59" s="82" t="s">
        <v>68</v>
      </c>
    </row>
    <row r="60" spans="1:8" ht="13.5">
      <c r="A60" s="80">
        <v>45</v>
      </c>
      <c r="B60" s="80">
        <v>8</v>
      </c>
      <c r="C60" s="79" t="s">
        <v>48</v>
      </c>
      <c r="D60" s="80">
        <v>90</v>
      </c>
      <c r="E60" s="81">
        <v>8784</v>
      </c>
      <c r="F60" s="85">
        <v>100</v>
      </c>
      <c r="G60" s="86">
        <v>402</v>
      </c>
      <c r="H60" s="79" t="s">
        <v>68</v>
      </c>
    </row>
    <row r="61" spans="1:8" ht="13.5">
      <c r="A61" s="83">
        <v>128</v>
      </c>
      <c r="B61" s="83">
        <v>6</v>
      </c>
      <c r="C61" s="82" t="s">
        <v>40</v>
      </c>
      <c r="D61" s="83">
        <v>93</v>
      </c>
      <c r="E61" s="84">
        <v>12123</v>
      </c>
      <c r="F61" s="87">
        <v>75</v>
      </c>
      <c r="G61" s="88">
        <v>463</v>
      </c>
      <c r="H61" s="82" t="s">
        <v>68</v>
      </c>
    </row>
    <row r="62" spans="1:8" ht="13.5">
      <c r="A62" s="80">
        <v>211</v>
      </c>
      <c r="B62" s="80">
        <v>3</v>
      </c>
      <c r="C62" s="79" t="s">
        <v>52</v>
      </c>
      <c r="D62" s="80">
        <v>98</v>
      </c>
      <c r="E62" s="81">
        <v>65189</v>
      </c>
      <c r="F62" s="85">
        <v>75</v>
      </c>
      <c r="G62" s="86">
        <v>485</v>
      </c>
      <c r="H62" s="79" t="s">
        <v>68</v>
      </c>
    </row>
    <row r="63" spans="1:8" ht="13.5">
      <c r="A63" s="83">
        <v>97</v>
      </c>
      <c r="B63" s="83">
        <v>7</v>
      </c>
      <c r="C63" s="82" t="s">
        <v>38</v>
      </c>
      <c r="D63" s="83">
        <v>103</v>
      </c>
      <c r="E63" s="84">
        <v>76730</v>
      </c>
      <c r="F63" s="87">
        <v>100</v>
      </c>
      <c r="G63" s="88">
        <v>698</v>
      </c>
      <c r="H63" s="82" t="s">
        <v>68</v>
      </c>
    </row>
    <row r="64" spans="1:8" ht="13.5">
      <c r="A64" s="80">
        <v>84</v>
      </c>
      <c r="B64" s="80">
        <v>5</v>
      </c>
      <c r="C64" s="79" t="s">
        <v>34</v>
      </c>
      <c r="D64" s="80">
        <v>106</v>
      </c>
      <c r="E64" s="81">
        <v>62530</v>
      </c>
      <c r="F64" s="85">
        <v>10</v>
      </c>
      <c r="G64" s="86">
        <v>409</v>
      </c>
      <c r="H64" s="79" t="s">
        <v>68</v>
      </c>
    </row>
    <row r="65" spans="1:8" ht="13.5">
      <c r="A65" s="83">
        <v>220</v>
      </c>
      <c r="B65" s="83">
        <v>6</v>
      </c>
      <c r="C65" s="82" t="s">
        <v>40</v>
      </c>
      <c r="D65" s="83">
        <v>110</v>
      </c>
      <c r="E65" s="84">
        <v>29659</v>
      </c>
      <c r="F65" s="87">
        <v>25</v>
      </c>
      <c r="G65" s="88">
        <v>554</v>
      </c>
      <c r="H65" s="82" t="s">
        <v>68</v>
      </c>
    </row>
    <row r="66" spans="1:8" ht="13.5">
      <c r="A66" s="80">
        <v>207</v>
      </c>
      <c r="B66" s="80">
        <v>9</v>
      </c>
      <c r="C66" s="79" t="s">
        <v>46</v>
      </c>
      <c r="D66" s="80">
        <v>112</v>
      </c>
      <c r="E66" s="81">
        <v>76092</v>
      </c>
      <c r="F66" s="85">
        <v>50</v>
      </c>
      <c r="G66" s="86">
        <v>555</v>
      </c>
      <c r="H66" s="79" t="s">
        <v>68</v>
      </c>
    </row>
    <row r="67" spans="1:8" ht="13.5">
      <c r="A67" s="83">
        <v>5</v>
      </c>
      <c r="B67" s="83">
        <v>1</v>
      </c>
      <c r="C67" s="82" t="s">
        <v>50</v>
      </c>
      <c r="D67" s="83">
        <v>113</v>
      </c>
      <c r="E67" s="84">
        <v>116667</v>
      </c>
      <c r="F67" s="87">
        <v>25</v>
      </c>
      <c r="G67" s="88">
        <v>391</v>
      </c>
      <c r="H67" s="82" t="s">
        <v>68</v>
      </c>
    </row>
    <row r="68" spans="1:8" ht="13.5">
      <c r="A68" s="80">
        <v>115</v>
      </c>
      <c r="B68" s="80">
        <v>3</v>
      </c>
      <c r="C68" s="79" t="s">
        <v>52</v>
      </c>
      <c r="D68" s="80">
        <v>113</v>
      </c>
      <c r="E68" s="81">
        <v>7645</v>
      </c>
      <c r="F68" s="85">
        <v>100</v>
      </c>
      <c r="G68" s="86">
        <v>560</v>
      </c>
      <c r="H68" s="79" t="s">
        <v>68</v>
      </c>
    </row>
    <row r="69" spans="1:8" ht="13.5">
      <c r="A69" s="83">
        <v>181</v>
      </c>
      <c r="B69" s="83">
        <v>1</v>
      </c>
      <c r="C69" s="82" t="s">
        <v>50</v>
      </c>
      <c r="D69" s="83">
        <v>121</v>
      </c>
      <c r="E69" s="84">
        <v>86857</v>
      </c>
      <c r="F69" s="87">
        <v>25</v>
      </c>
      <c r="G69" s="88">
        <v>330</v>
      </c>
      <c r="H69" s="82" t="s">
        <v>68</v>
      </c>
    </row>
    <row r="70" spans="1:8" ht="13.5">
      <c r="A70" s="80">
        <v>235</v>
      </c>
      <c r="B70" s="80">
        <v>9</v>
      </c>
      <c r="C70" s="79" t="s">
        <v>46</v>
      </c>
      <c r="D70" s="80">
        <v>122</v>
      </c>
      <c r="E70" s="81">
        <v>31269</v>
      </c>
      <c r="F70" s="85">
        <v>25</v>
      </c>
      <c r="G70" s="86">
        <v>301</v>
      </c>
      <c r="H70" s="79" t="s">
        <v>68</v>
      </c>
    </row>
    <row r="71" spans="1:8" ht="13.5">
      <c r="A71" s="83">
        <v>237</v>
      </c>
      <c r="B71" s="83">
        <v>5</v>
      </c>
      <c r="C71" s="82" t="s">
        <v>34</v>
      </c>
      <c r="D71" s="83">
        <v>123</v>
      </c>
      <c r="E71" s="84">
        <v>95696</v>
      </c>
      <c r="F71" s="87">
        <v>100</v>
      </c>
      <c r="G71" s="88">
        <v>501</v>
      </c>
      <c r="H71" s="82" t="s">
        <v>68</v>
      </c>
    </row>
    <row r="72" spans="1:8" ht="13.5">
      <c r="A72" s="80">
        <v>29</v>
      </c>
      <c r="B72" s="80">
        <v>10</v>
      </c>
      <c r="C72" s="79" t="s">
        <v>44</v>
      </c>
      <c r="D72" s="80">
        <v>124</v>
      </c>
      <c r="E72" s="81">
        <v>135740</v>
      </c>
      <c r="F72" s="85">
        <v>10</v>
      </c>
      <c r="G72" s="86">
        <v>514</v>
      </c>
      <c r="H72" s="79" t="s">
        <v>68</v>
      </c>
    </row>
    <row r="73" spans="1:8" ht="13.5">
      <c r="A73" s="83">
        <v>197</v>
      </c>
      <c r="B73" s="83">
        <v>6</v>
      </c>
      <c r="C73" s="82" t="s">
        <v>40</v>
      </c>
      <c r="D73" s="83">
        <v>125</v>
      </c>
      <c r="E73" s="84">
        <v>109674</v>
      </c>
      <c r="F73" s="87">
        <v>100</v>
      </c>
      <c r="G73" s="88">
        <v>330</v>
      </c>
      <c r="H73" s="82" t="s">
        <v>68</v>
      </c>
    </row>
    <row r="74" spans="1:8" ht="13.5">
      <c r="A74" s="80">
        <v>159</v>
      </c>
      <c r="B74" s="80">
        <v>10</v>
      </c>
      <c r="C74" s="79" t="s">
        <v>44</v>
      </c>
      <c r="D74" s="80">
        <v>126</v>
      </c>
      <c r="E74" s="81">
        <v>156857</v>
      </c>
      <c r="F74" s="85">
        <v>50</v>
      </c>
      <c r="G74" s="86">
        <v>548</v>
      </c>
      <c r="H74" s="79" t="s">
        <v>68</v>
      </c>
    </row>
    <row r="75" spans="1:8" ht="13.5">
      <c r="A75" s="83">
        <v>2</v>
      </c>
      <c r="B75" s="83">
        <v>4</v>
      </c>
      <c r="C75" s="82" t="s">
        <v>42</v>
      </c>
      <c r="D75" s="83">
        <v>127</v>
      </c>
      <c r="E75" s="84">
        <v>76740</v>
      </c>
      <c r="F75" s="87">
        <v>10</v>
      </c>
      <c r="G75" s="88">
        <v>507</v>
      </c>
      <c r="H75" s="82" t="s">
        <v>68</v>
      </c>
    </row>
    <row r="76" spans="1:8" ht="13.5">
      <c r="A76" s="80">
        <v>100</v>
      </c>
      <c r="B76" s="80">
        <v>4</v>
      </c>
      <c r="C76" s="79" t="s">
        <v>42</v>
      </c>
      <c r="D76" s="80">
        <v>129</v>
      </c>
      <c r="E76" s="81">
        <v>179431</v>
      </c>
      <c r="F76" s="85">
        <v>100</v>
      </c>
      <c r="G76" s="86">
        <v>764</v>
      </c>
      <c r="H76" s="79" t="s">
        <v>68</v>
      </c>
    </row>
    <row r="77" spans="1:8" ht="13.5">
      <c r="A77" s="83">
        <v>200</v>
      </c>
      <c r="B77" s="83">
        <v>9</v>
      </c>
      <c r="C77" s="82" t="s">
        <v>46</v>
      </c>
      <c r="D77" s="83">
        <v>129</v>
      </c>
      <c r="E77" s="84">
        <v>40533</v>
      </c>
      <c r="F77" s="87">
        <v>25</v>
      </c>
      <c r="G77" s="88">
        <v>498</v>
      </c>
      <c r="H77" s="82" t="s">
        <v>68</v>
      </c>
    </row>
    <row r="78" spans="1:8" ht="13.5">
      <c r="A78" s="80">
        <v>157</v>
      </c>
      <c r="B78" s="80">
        <v>6</v>
      </c>
      <c r="C78" s="79" t="s">
        <v>40</v>
      </c>
      <c r="D78" s="80">
        <v>131</v>
      </c>
      <c r="E78" s="81">
        <v>17455</v>
      </c>
      <c r="F78" s="85">
        <v>100</v>
      </c>
      <c r="G78" s="86">
        <v>494</v>
      </c>
      <c r="H78" s="79" t="s">
        <v>68</v>
      </c>
    </row>
    <row r="79" spans="1:8" ht="13.5">
      <c r="A79" s="83">
        <v>241</v>
      </c>
      <c r="B79" s="83">
        <v>6</v>
      </c>
      <c r="C79" s="82" t="s">
        <v>40</v>
      </c>
      <c r="D79" s="83">
        <v>132</v>
      </c>
      <c r="E79" s="84">
        <v>80079</v>
      </c>
      <c r="F79" s="87">
        <v>100</v>
      </c>
      <c r="G79" s="88">
        <v>383</v>
      </c>
      <c r="H79" s="82" t="s">
        <v>68</v>
      </c>
    </row>
    <row r="80" spans="1:8" ht="13.5">
      <c r="A80" s="80">
        <v>9</v>
      </c>
      <c r="B80" s="80">
        <v>5</v>
      </c>
      <c r="C80" s="79" t="s">
        <v>34</v>
      </c>
      <c r="D80" s="80">
        <v>135</v>
      </c>
      <c r="E80" s="81">
        <v>95315</v>
      </c>
      <c r="F80" s="85">
        <v>10</v>
      </c>
      <c r="G80" s="86">
        <v>559</v>
      </c>
      <c r="H80" s="79" t="s">
        <v>68</v>
      </c>
    </row>
    <row r="81" spans="1:8" ht="13.5">
      <c r="A81" s="83">
        <v>82</v>
      </c>
      <c r="B81" s="83">
        <v>7</v>
      </c>
      <c r="C81" s="82" t="s">
        <v>38</v>
      </c>
      <c r="D81" s="83">
        <v>137</v>
      </c>
      <c r="E81" s="84">
        <v>103201</v>
      </c>
      <c r="F81" s="87">
        <v>50</v>
      </c>
      <c r="G81" s="88">
        <v>660</v>
      </c>
      <c r="H81" s="82" t="s">
        <v>68</v>
      </c>
    </row>
    <row r="82" spans="1:8" ht="13.5">
      <c r="A82" s="80">
        <v>144</v>
      </c>
      <c r="B82" s="80">
        <v>2</v>
      </c>
      <c r="C82" s="79" t="s">
        <v>36</v>
      </c>
      <c r="D82" s="80">
        <v>140</v>
      </c>
      <c r="E82" s="81">
        <v>73754</v>
      </c>
      <c r="F82" s="85">
        <v>100</v>
      </c>
      <c r="G82" s="86">
        <v>675</v>
      </c>
      <c r="H82" s="79" t="s">
        <v>68</v>
      </c>
    </row>
    <row r="83" spans="1:8" ht="13.5">
      <c r="A83" s="83">
        <v>129</v>
      </c>
      <c r="B83" s="83">
        <v>8</v>
      </c>
      <c r="C83" s="82" t="s">
        <v>48</v>
      </c>
      <c r="D83" s="83">
        <v>141</v>
      </c>
      <c r="E83" s="84">
        <v>23514</v>
      </c>
      <c r="F83" s="87">
        <v>50</v>
      </c>
      <c r="G83" s="88">
        <v>488</v>
      </c>
      <c r="H83" s="82" t="s">
        <v>68</v>
      </c>
    </row>
    <row r="84" spans="1:8" ht="13.5">
      <c r="A84" s="80">
        <v>106</v>
      </c>
      <c r="B84" s="80">
        <v>2</v>
      </c>
      <c r="C84" s="79" t="s">
        <v>36</v>
      </c>
      <c r="D84" s="80">
        <v>142</v>
      </c>
      <c r="E84" s="81">
        <v>51754</v>
      </c>
      <c r="F84" s="85">
        <v>10</v>
      </c>
      <c r="G84" s="86">
        <v>303</v>
      </c>
      <c r="H84" s="79" t="s">
        <v>68</v>
      </c>
    </row>
    <row r="85" spans="1:8" ht="13.5">
      <c r="A85" s="83">
        <v>107</v>
      </c>
      <c r="B85" s="83">
        <v>4</v>
      </c>
      <c r="C85" s="82" t="s">
        <v>42</v>
      </c>
      <c r="D85" s="83">
        <v>143</v>
      </c>
      <c r="E85" s="84">
        <v>88636</v>
      </c>
      <c r="F85" s="87">
        <v>50</v>
      </c>
      <c r="G85" s="88">
        <v>644</v>
      </c>
      <c r="H85" s="82" t="s">
        <v>68</v>
      </c>
    </row>
    <row r="86" spans="1:8" ht="13.5">
      <c r="A86" s="80">
        <v>173</v>
      </c>
      <c r="B86" s="80">
        <v>1</v>
      </c>
      <c r="C86" s="79" t="s">
        <v>50</v>
      </c>
      <c r="D86" s="80">
        <v>143</v>
      </c>
      <c r="E86" s="81">
        <v>9614</v>
      </c>
      <c r="F86" s="85">
        <v>10</v>
      </c>
      <c r="G86" s="86">
        <v>290</v>
      </c>
      <c r="H86" s="79" t="s">
        <v>68</v>
      </c>
    </row>
    <row r="87" spans="1:8" ht="13.5">
      <c r="A87" s="83">
        <v>210</v>
      </c>
      <c r="B87" s="83">
        <v>9</v>
      </c>
      <c r="C87" s="82" t="s">
        <v>46</v>
      </c>
      <c r="D87" s="83">
        <v>147</v>
      </c>
      <c r="E87" s="84">
        <v>59612</v>
      </c>
      <c r="F87" s="87">
        <v>50</v>
      </c>
      <c r="G87" s="88">
        <v>660</v>
      </c>
      <c r="H87" s="82" t="s">
        <v>68</v>
      </c>
    </row>
    <row r="88" spans="1:8" ht="13.5">
      <c r="A88" s="80">
        <v>218</v>
      </c>
      <c r="B88" s="80">
        <v>7</v>
      </c>
      <c r="C88" s="79" t="s">
        <v>38</v>
      </c>
      <c r="D88" s="80">
        <v>147</v>
      </c>
      <c r="E88" s="81">
        <v>74275</v>
      </c>
      <c r="F88" s="85">
        <v>100</v>
      </c>
      <c r="G88" s="86">
        <v>708</v>
      </c>
      <c r="H88" s="79" t="s">
        <v>68</v>
      </c>
    </row>
    <row r="89" spans="1:8" ht="13.5">
      <c r="A89" s="83">
        <v>134</v>
      </c>
      <c r="B89" s="83">
        <v>7</v>
      </c>
      <c r="C89" s="82" t="s">
        <v>38</v>
      </c>
      <c r="D89" s="83">
        <v>153</v>
      </c>
      <c r="E89" s="84">
        <v>66200</v>
      </c>
      <c r="F89" s="87">
        <v>25</v>
      </c>
      <c r="G89" s="88">
        <v>318</v>
      </c>
      <c r="H89" s="82" t="s">
        <v>68</v>
      </c>
    </row>
    <row r="90" spans="1:8" ht="13.5">
      <c r="A90" s="80">
        <v>104</v>
      </c>
      <c r="B90" s="80">
        <v>5</v>
      </c>
      <c r="C90" s="79" t="s">
        <v>34</v>
      </c>
      <c r="D90" s="80">
        <v>157</v>
      </c>
      <c r="E90" s="81">
        <v>75583</v>
      </c>
      <c r="F90" s="85">
        <v>100</v>
      </c>
      <c r="G90" s="86">
        <v>605</v>
      </c>
      <c r="H90" s="79" t="s">
        <v>68</v>
      </c>
    </row>
    <row r="91" spans="1:8" ht="13.5">
      <c r="A91" s="83">
        <v>135</v>
      </c>
      <c r="B91" s="83">
        <v>7</v>
      </c>
      <c r="C91" s="82" t="s">
        <v>38</v>
      </c>
      <c r="D91" s="83">
        <v>157</v>
      </c>
      <c r="E91" s="84">
        <v>98151</v>
      </c>
      <c r="F91" s="87">
        <v>50</v>
      </c>
      <c r="G91" s="88">
        <v>291</v>
      </c>
      <c r="H91" s="82" t="s">
        <v>68</v>
      </c>
    </row>
    <row r="92" spans="1:8" ht="13.5">
      <c r="A92" s="80">
        <v>24</v>
      </c>
      <c r="B92" s="80">
        <v>10</v>
      </c>
      <c r="C92" s="79" t="s">
        <v>44</v>
      </c>
      <c r="D92" s="80">
        <v>161</v>
      </c>
      <c r="E92" s="81">
        <v>87757</v>
      </c>
      <c r="F92" s="85">
        <v>100</v>
      </c>
      <c r="G92" s="86">
        <v>593</v>
      </c>
      <c r="H92" s="79" t="s">
        <v>68</v>
      </c>
    </row>
    <row r="93" spans="1:8" ht="13.5">
      <c r="A93" s="83">
        <v>31</v>
      </c>
      <c r="B93" s="83">
        <v>4</v>
      </c>
      <c r="C93" s="82" t="s">
        <v>42</v>
      </c>
      <c r="D93" s="83">
        <v>161</v>
      </c>
      <c r="E93" s="84">
        <v>62026</v>
      </c>
      <c r="F93" s="87">
        <v>75</v>
      </c>
      <c r="G93" s="88">
        <v>515</v>
      </c>
      <c r="H93" s="82" t="s">
        <v>68</v>
      </c>
    </row>
    <row r="94" spans="1:8" ht="13.5">
      <c r="A94" s="80">
        <v>67</v>
      </c>
      <c r="B94" s="80">
        <v>3</v>
      </c>
      <c r="C94" s="79" t="s">
        <v>52</v>
      </c>
      <c r="D94" s="80">
        <v>163</v>
      </c>
      <c r="E94" s="81">
        <v>34685</v>
      </c>
      <c r="F94" s="85">
        <v>25</v>
      </c>
      <c r="G94" s="86">
        <v>721</v>
      </c>
      <c r="H94" s="79" t="s">
        <v>68</v>
      </c>
    </row>
    <row r="95" spans="1:8" ht="13.5">
      <c r="A95" s="83">
        <v>95</v>
      </c>
      <c r="B95" s="83">
        <v>6</v>
      </c>
      <c r="C95" s="82" t="s">
        <v>40</v>
      </c>
      <c r="D95" s="83">
        <v>163</v>
      </c>
      <c r="E95" s="84">
        <v>5444</v>
      </c>
      <c r="F95" s="87">
        <v>100</v>
      </c>
      <c r="G95" s="88">
        <v>752</v>
      </c>
      <c r="H95" s="82" t="s">
        <v>68</v>
      </c>
    </row>
    <row r="96" spans="1:8" ht="13.5">
      <c r="A96" s="80">
        <v>222</v>
      </c>
      <c r="B96" s="80">
        <v>10</v>
      </c>
      <c r="C96" s="79" t="s">
        <v>44</v>
      </c>
      <c r="D96" s="80">
        <v>164</v>
      </c>
      <c r="E96" s="81">
        <v>90529</v>
      </c>
      <c r="F96" s="85">
        <v>100</v>
      </c>
      <c r="G96" s="86">
        <v>602</v>
      </c>
      <c r="H96" s="79" t="s">
        <v>68</v>
      </c>
    </row>
    <row r="97" spans="1:8" ht="13.5">
      <c r="A97" s="83">
        <v>152</v>
      </c>
      <c r="B97" s="83">
        <v>7</v>
      </c>
      <c r="C97" s="82" t="s">
        <v>38</v>
      </c>
      <c r="D97" s="83">
        <v>167</v>
      </c>
      <c r="E97" s="84">
        <v>92708</v>
      </c>
      <c r="F97" s="87">
        <v>50</v>
      </c>
      <c r="G97" s="88">
        <v>445</v>
      </c>
      <c r="H97" s="82" t="s">
        <v>68</v>
      </c>
    </row>
    <row r="98" spans="1:8" ht="13.5">
      <c r="A98" s="80">
        <v>102</v>
      </c>
      <c r="B98" s="80">
        <v>7</v>
      </c>
      <c r="C98" s="79" t="s">
        <v>38</v>
      </c>
      <c r="D98" s="80">
        <v>168</v>
      </c>
      <c r="E98" s="81">
        <v>68198</v>
      </c>
      <c r="F98" s="85">
        <v>25</v>
      </c>
      <c r="G98" s="86">
        <v>361</v>
      </c>
      <c r="H98" s="79" t="s">
        <v>68</v>
      </c>
    </row>
    <row r="99" spans="1:8" ht="13.5">
      <c r="A99" s="83">
        <v>139</v>
      </c>
      <c r="B99" s="83">
        <v>8</v>
      </c>
      <c r="C99" s="82" t="s">
        <v>48</v>
      </c>
      <c r="D99" s="83">
        <v>172</v>
      </c>
      <c r="E99" s="84">
        <v>157240</v>
      </c>
      <c r="F99" s="87">
        <v>100</v>
      </c>
      <c r="G99" s="88">
        <v>779</v>
      </c>
      <c r="H99" s="82" t="s">
        <v>68</v>
      </c>
    </row>
    <row r="100" spans="1:8" ht="13.5">
      <c r="A100" s="80">
        <v>46</v>
      </c>
      <c r="B100" s="80">
        <v>7</v>
      </c>
      <c r="C100" s="79" t="s">
        <v>38</v>
      </c>
      <c r="D100" s="80">
        <v>173</v>
      </c>
      <c r="E100" s="81">
        <v>29329</v>
      </c>
      <c r="F100" s="85">
        <v>75</v>
      </c>
      <c r="G100" s="86">
        <v>449</v>
      </c>
      <c r="H100" s="79" t="s">
        <v>68</v>
      </c>
    </row>
    <row r="101" spans="1:8" ht="13.5">
      <c r="A101" s="83">
        <v>68</v>
      </c>
      <c r="B101" s="83">
        <v>4</v>
      </c>
      <c r="C101" s="82" t="s">
        <v>42</v>
      </c>
      <c r="D101" s="83">
        <v>173</v>
      </c>
      <c r="E101" s="84">
        <v>48505</v>
      </c>
      <c r="F101" s="87">
        <v>50</v>
      </c>
      <c r="G101" s="88">
        <v>634</v>
      </c>
      <c r="H101" s="82" t="s">
        <v>68</v>
      </c>
    </row>
    <row r="102" spans="1:8" ht="13.5">
      <c r="A102" s="80">
        <v>119</v>
      </c>
      <c r="B102" s="80">
        <v>7</v>
      </c>
      <c r="C102" s="79" t="s">
        <v>38</v>
      </c>
      <c r="D102" s="80">
        <v>173</v>
      </c>
      <c r="E102" s="81">
        <v>78670</v>
      </c>
      <c r="F102" s="85">
        <v>100</v>
      </c>
      <c r="G102" s="86">
        <v>341</v>
      </c>
      <c r="H102" s="79" t="s">
        <v>68</v>
      </c>
    </row>
    <row r="103" spans="1:8" ht="13.5">
      <c r="A103" s="83">
        <v>53</v>
      </c>
      <c r="B103" s="83">
        <v>4</v>
      </c>
      <c r="C103" s="82" t="s">
        <v>42</v>
      </c>
      <c r="D103" s="83">
        <v>174</v>
      </c>
      <c r="E103" s="84">
        <v>49032</v>
      </c>
      <c r="F103" s="87">
        <v>50</v>
      </c>
      <c r="G103" s="88">
        <v>362</v>
      </c>
      <c r="H103" s="82" t="s">
        <v>68</v>
      </c>
    </row>
    <row r="104" spans="1:8" ht="13.5">
      <c r="A104" s="80">
        <v>48</v>
      </c>
      <c r="B104" s="80">
        <v>8</v>
      </c>
      <c r="C104" s="79" t="s">
        <v>48</v>
      </c>
      <c r="D104" s="80">
        <v>176</v>
      </c>
      <c r="E104" s="81">
        <v>184861</v>
      </c>
      <c r="F104" s="85">
        <v>50</v>
      </c>
      <c r="G104" s="86">
        <v>356</v>
      </c>
      <c r="H104" s="79" t="s">
        <v>68</v>
      </c>
    </row>
    <row r="105" spans="1:8" ht="13.5">
      <c r="A105" s="83">
        <v>199</v>
      </c>
      <c r="B105" s="83">
        <v>6</v>
      </c>
      <c r="C105" s="82" t="s">
        <v>40</v>
      </c>
      <c r="D105" s="83">
        <v>177</v>
      </c>
      <c r="E105" s="84">
        <v>53085</v>
      </c>
      <c r="F105" s="87">
        <v>50</v>
      </c>
      <c r="G105" s="88">
        <v>502</v>
      </c>
      <c r="H105" s="82" t="s">
        <v>68</v>
      </c>
    </row>
    <row r="106" spans="1:8" ht="13.5">
      <c r="A106" s="80">
        <v>169</v>
      </c>
      <c r="B106" s="80">
        <v>6</v>
      </c>
      <c r="C106" s="79" t="s">
        <v>40</v>
      </c>
      <c r="D106" s="80">
        <v>179</v>
      </c>
      <c r="E106" s="81">
        <v>42592</v>
      </c>
      <c r="F106" s="85">
        <v>75</v>
      </c>
      <c r="G106" s="86">
        <v>520</v>
      </c>
      <c r="H106" s="79" t="s">
        <v>68</v>
      </c>
    </row>
    <row r="107" spans="1:8" ht="13.5">
      <c r="A107" s="83">
        <v>62</v>
      </c>
      <c r="B107" s="83">
        <v>2</v>
      </c>
      <c r="C107" s="82" t="s">
        <v>36</v>
      </c>
      <c r="D107" s="83">
        <v>182</v>
      </c>
      <c r="E107" s="84">
        <v>38442</v>
      </c>
      <c r="F107" s="87">
        <v>100</v>
      </c>
      <c r="G107" s="88">
        <v>401</v>
      </c>
      <c r="H107" s="82" t="s">
        <v>68</v>
      </c>
    </row>
    <row r="108" spans="1:8" ht="13.5">
      <c r="A108" s="80">
        <v>91</v>
      </c>
      <c r="B108" s="80">
        <v>1</v>
      </c>
      <c r="C108" s="79" t="s">
        <v>50</v>
      </c>
      <c r="D108" s="80">
        <v>183</v>
      </c>
      <c r="E108" s="81">
        <v>75273</v>
      </c>
      <c r="F108" s="85">
        <v>25</v>
      </c>
      <c r="G108" s="86">
        <v>647</v>
      </c>
      <c r="H108" s="79" t="s">
        <v>68</v>
      </c>
    </row>
    <row r="109" spans="1:8" ht="13.5">
      <c r="A109" s="83">
        <v>188</v>
      </c>
      <c r="B109" s="83">
        <v>3</v>
      </c>
      <c r="C109" s="82" t="s">
        <v>52</v>
      </c>
      <c r="D109" s="83">
        <v>185</v>
      </c>
      <c r="E109" s="84">
        <v>29004</v>
      </c>
      <c r="F109" s="87">
        <v>75</v>
      </c>
      <c r="G109" s="88">
        <v>454</v>
      </c>
      <c r="H109" s="82" t="s">
        <v>68</v>
      </c>
    </row>
    <row r="110" spans="1:8" ht="13.5">
      <c r="A110" s="80">
        <v>51</v>
      </c>
      <c r="B110" s="80">
        <v>6</v>
      </c>
      <c r="C110" s="79" t="s">
        <v>40</v>
      </c>
      <c r="D110" s="80">
        <v>186</v>
      </c>
      <c r="E110" s="81">
        <v>85288</v>
      </c>
      <c r="F110" s="85">
        <v>50</v>
      </c>
      <c r="G110" s="86">
        <v>401</v>
      </c>
      <c r="H110" s="79" t="s">
        <v>68</v>
      </c>
    </row>
    <row r="111" spans="1:8" ht="13.5">
      <c r="A111" s="83">
        <v>10</v>
      </c>
      <c r="B111" s="83">
        <v>5</v>
      </c>
      <c r="C111" s="82" t="s">
        <v>34</v>
      </c>
      <c r="D111" s="83">
        <v>187</v>
      </c>
      <c r="E111" s="84">
        <v>29602</v>
      </c>
      <c r="F111" s="87">
        <v>100</v>
      </c>
      <c r="G111" s="88">
        <v>583</v>
      </c>
      <c r="H111" s="82" t="s">
        <v>68</v>
      </c>
    </row>
    <row r="112" spans="1:8" ht="13.5">
      <c r="A112" s="80">
        <v>147</v>
      </c>
      <c r="B112" s="80">
        <v>2</v>
      </c>
      <c r="C112" s="79" t="s">
        <v>36</v>
      </c>
      <c r="D112" s="80">
        <v>189</v>
      </c>
      <c r="E112" s="81">
        <v>72478</v>
      </c>
      <c r="F112" s="85">
        <v>75</v>
      </c>
      <c r="G112" s="86">
        <v>436</v>
      </c>
      <c r="H112" s="79" t="s">
        <v>68</v>
      </c>
    </row>
    <row r="113" spans="1:8" ht="13.5">
      <c r="A113" s="83">
        <v>225</v>
      </c>
      <c r="B113" s="83">
        <v>6</v>
      </c>
      <c r="C113" s="82" t="s">
        <v>40</v>
      </c>
      <c r="D113" s="83">
        <v>189</v>
      </c>
      <c r="E113" s="84">
        <v>8887</v>
      </c>
      <c r="F113" s="87">
        <v>100</v>
      </c>
      <c r="G113" s="88">
        <v>292</v>
      </c>
      <c r="H113" s="82" t="s">
        <v>68</v>
      </c>
    </row>
    <row r="114" spans="1:8" ht="13.5">
      <c r="A114" s="80">
        <v>254</v>
      </c>
      <c r="B114" s="80">
        <v>10</v>
      </c>
      <c r="C114" s="79" t="s">
        <v>44</v>
      </c>
      <c r="D114" s="80">
        <v>190</v>
      </c>
      <c r="E114" s="81">
        <v>40522</v>
      </c>
      <c r="F114" s="85">
        <v>25</v>
      </c>
      <c r="G114" s="86">
        <v>438</v>
      </c>
      <c r="H114" s="79" t="s">
        <v>68</v>
      </c>
    </row>
    <row r="115" spans="1:8" ht="13.5">
      <c r="A115" s="83">
        <v>150</v>
      </c>
      <c r="B115" s="83">
        <v>10</v>
      </c>
      <c r="C115" s="82" t="s">
        <v>44</v>
      </c>
      <c r="D115" s="83">
        <v>195</v>
      </c>
      <c r="E115" s="84">
        <v>84917</v>
      </c>
      <c r="F115" s="87">
        <v>25</v>
      </c>
      <c r="G115" s="88">
        <v>642</v>
      </c>
      <c r="H115" s="82" t="s">
        <v>68</v>
      </c>
    </row>
    <row r="116" spans="1:8" ht="13.5">
      <c r="A116" s="80">
        <v>182</v>
      </c>
      <c r="B116" s="80">
        <v>3</v>
      </c>
      <c r="C116" s="79" t="s">
        <v>52</v>
      </c>
      <c r="D116" s="80">
        <v>195</v>
      </c>
      <c r="E116" s="81">
        <v>31050</v>
      </c>
      <c r="F116" s="85">
        <v>25</v>
      </c>
      <c r="G116" s="86">
        <v>495</v>
      </c>
      <c r="H116" s="79" t="s">
        <v>68</v>
      </c>
    </row>
    <row r="117" spans="1:8" ht="13.5">
      <c r="A117" s="83">
        <v>242</v>
      </c>
      <c r="B117" s="83">
        <v>8</v>
      </c>
      <c r="C117" s="82" t="s">
        <v>48</v>
      </c>
      <c r="D117" s="83">
        <v>195</v>
      </c>
      <c r="E117" s="84">
        <v>83702</v>
      </c>
      <c r="F117" s="87">
        <v>100</v>
      </c>
      <c r="G117" s="88">
        <v>240</v>
      </c>
      <c r="H117" s="82" t="s">
        <v>68</v>
      </c>
    </row>
    <row r="118" spans="1:8" ht="13.5">
      <c r="A118" s="80">
        <v>203</v>
      </c>
      <c r="B118" s="80">
        <v>6</v>
      </c>
      <c r="C118" s="79" t="s">
        <v>40</v>
      </c>
      <c r="D118" s="80">
        <v>197</v>
      </c>
      <c r="E118" s="81">
        <v>92306</v>
      </c>
      <c r="F118" s="85">
        <v>75</v>
      </c>
      <c r="G118" s="86">
        <v>754</v>
      </c>
      <c r="H118" s="79" t="s">
        <v>68</v>
      </c>
    </row>
    <row r="119" spans="1:8" ht="13.5">
      <c r="A119" s="83">
        <v>96</v>
      </c>
      <c r="B119" s="83">
        <v>2</v>
      </c>
      <c r="C119" s="82" t="s">
        <v>36</v>
      </c>
      <c r="D119" s="83">
        <v>199</v>
      </c>
      <c r="E119" s="84">
        <v>47690</v>
      </c>
      <c r="F119" s="87">
        <v>100</v>
      </c>
      <c r="G119" s="88">
        <v>544</v>
      </c>
      <c r="H119" s="82" t="s">
        <v>68</v>
      </c>
    </row>
    <row r="120" spans="1:8" ht="13.5">
      <c r="A120" s="80">
        <v>172</v>
      </c>
      <c r="B120" s="80">
        <v>3</v>
      </c>
      <c r="C120" s="79" t="s">
        <v>52</v>
      </c>
      <c r="D120" s="80">
        <v>202</v>
      </c>
      <c r="E120" s="81">
        <v>99858</v>
      </c>
      <c r="F120" s="85">
        <v>50</v>
      </c>
      <c r="G120" s="86">
        <v>705</v>
      </c>
      <c r="H120" s="79" t="s">
        <v>68</v>
      </c>
    </row>
    <row r="121" spans="1:8" ht="13.5">
      <c r="A121" s="83">
        <v>190</v>
      </c>
      <c r="B121" s="83">
        <v>2</v>
      </c>
      <c r="C121" s="82" t="s">
        <v>36</v>
      </c>
      <c r="D121" s="83">
        <v>207</v>
      </c>
      <c r="E121" s="84">
        <v>63677</v>
      </c>
      <c r="F121" s="87">
        <v>100</v>
      </c>
      <c r="G121" s="88">
        <v>470</v>
      </c>
      <c r="H121" s="82" t="s">
        <v>68</v>
      </c>
    </row>
    <row r="122" spans="1:8" ht="13.5">
      <c r="A122" s="80">
        <v>113</v>
      </c>
      <c r="B122" s="80">
        <v>1</v>
      </c>
      <c r="C122" s="79" t="s">
        <v>50</v>
      </c>
      <c r="D122" s="80">
        <v>208</v>
      </c>
      <c r="E122" s="81">
        <v>113710</v>
      </c>
      <c r="F122" s="85">
        <v>25</v>
      </c>
      <c r="G122" s="86">
        <v>330</v>
      </c>
      <c r="H122" s="79" t="s">
        <v>68</v>
      </c>
    </row>
    <row r="123" spans="1:8" ht="13.5">
      <c r="A123" s="83">
        <v>170</v>
      </c>
      <c r="B123" s="83">
        <v>2</v>
      </c>
      <c r="C123" s="82" t="s">
        <v>36</v>
      </c>
      <c r="D123" s="83">
        <v>208</v>
      </c>
      <c r="E123" s="84">
        <v>5126</v>
      </c>
      <c r="F123" s="87">
        <v>25</v>
      </c>
      <c r="G123" s="88">
        <v>777</v>
      </c>
      <c r="H123" s="82" t="s">
        <v>68</v>
      </c>
    </row>
    <row r="124" spans="1:8" ht="13.5">
      <c r="A124" s="80">
        <v>103</v>
      </c>
      <c r="B124" s="80">
        <v>4</v>
      </c>
      <c r="C124" s="79" t="s">
        <v>42</v>
      </c>
      <c r="D124" s="80">
        <v>211</v>
      </c>
      <c r="E124" s="81">
        <v>47980</v>
      </c>
      <c r="F124" s="85">
        <v>100</v>
      </c>
      <c r="G124" s="86">
        <v>471</v>
      </c>
      <c r="H124" s="79" t="s">
        <v>68</v>
      </c>
    </row>
    <row r="125" spans="1:8" ht="13.5">
      <c r="A125" s="83">
        <v>52</v>
      </c>
      <c r="B125" s="83">
        <v>1</v>
      </c>
      <c r="C125" s="82" t="s">
        <v>50</v>
      </c>
      <c r="D125" s="83">
        <v>212</v>
      </c>
      <c r="E125" s="84">
        <v>82115</v>
      </c>
      <c r="F125" s="87">
        <v>100</v>
      </c>
      <c r="G125" s="88">
        <v>431</v>
      </c>
      <c r="H125" s="82" t="s">
        <v>68</v>
      </c>
    </row>
    <row r="126" spans="1:8" ht="13.5">
      <c r="A126" s="80">
        <v>201</v>
      </c>
      <c r="B126" s="80">
        <v>2</v>
      </c>
      <c r="C126" s="79" t="s">
        <v>36</v>
      </c>
      <c r="D126" s="80">
        <v>212</v>
      </c>
      <c r="E126" s="81">
        <v>96562</v>
      </c>
      <c r="F126" s="85">
        <v>75</v>
      </c>
      <c r="G126" s="86">
        <v>329</v>
      </c>
      <c r="H126" s="79" t="s">
        <v>68</v>
      </c>
    </row>
    <row r="127" spans="1:8" ht="13.5">
      <c r="A127" s="83">
        <v>47</v>
      </c>
      <c r="B127" s="83">
        <v>3</v>
      </c>
      <c r="C127" s="82" t="s">
        <v>52</v>
      </c>
      <c r="D127" s="83">
        <v>213</v>
      </c>
      <c r="E127" s="84">
        <v>74312</v>
      </c>
      <c r="F127" s="87">
        <v>25</v>
      </c>
      <c r="G127" s="88">
        <v>694</v>
      </c>
      <c r="H127" s="82" t="s">
        <v>68</v>
      </c>
    </row>
    <row r="128" spans="1:8" ht="13.5">
      <c r="A128" s="80">
        <v>19</v>
      </c>
      <c r="B128" s="80">
        <v>8</v>
      </c>
      <c r="C128" s="79" t="s">
        <v>48</v>
      </c>
      <c r="D128" s="80">
        <v>214</v>
      </c>
      <c r="E128" s="81">
        <v>90989</v>
      </c>
      <c r="F128" s="85">
        <v>75</v>
      </c>
      <c r="G128" s="86">
        <v>261</v>
      </c>
      <c r="H128" s="79" t="s">
        <v>68</v>
      </c>
    </row>
    <row r="129" spans="1:8" ht="13.5">
      <c r="A129" s="83">
        <v>93</v>
      </c>
      <c r="B129" s="83">
        <v>1</v>
      </c>
      <c r="C129" s="82" t="s">
        <v>50</v>
      </c>
      <c r="D129" s="83">
        <v>215</v>
      </c>
      <c r="E129" s="84">
        <v>101682</v>
      </c>
      <c r="F129" s="87">
        <v>100</v>
      </c>
      <c r="G129" s="88">
        <v>654</v>
      </c>
      <c r="H129" s="82" t="s">
        <v>68</v>
      </c>
    </row>
    <row r="130" spans="1:8" ht="13.5">
      <c r="A130" s="80">
        <v>245</v>
      </c>
      <c r="B130" s="80">
        <v>9</v>
      </c>
      <c r="C130" s="79" t="s">
        <v>46</v>
      </c>
      <c r="D130" s="80">
        <v>219</v>
      </c>
      <c r="E130" s="81">
        <v>85875</v>
      </c>
      <c r="F130" s="85">
        <v>100</v>
      </c>
      <c r="G130" s="86">
        <v>622</v>
      </c>
      <c r="H130" s="79" t="s">
        <v>68</v>
      </c>
    </row>
    <row r="131" spans="1:8" ht="13.5">
      <c r="A131" s="83">
        <v>204</v>
      </c>
      <c r="B131" s="83">
        <v>7</v>
      </c>
      <c r="C131" s="82" t="s">
        <v>38</v>
      </c>
      <c r="D131" s="83">
        <v>220</v>
      </c>
      <c r="E131" s="84">
        <v>14791</v>
      </c>
      <c r="F131" s="87">
        <v>25</v>
      </c>
      <c r="G131" s="88">
        <v>512</v>
      </c>
      <c r="H131" s="82" t="s">
        <v>68</v>
      </c>
    </row>
    <row r="132" spans="1:8" ht="13.5">
      <c r="A132" s="80">
        <v>75</v>
      </c>
      <c r="B132" s="80">
        <v>3</v>
      </c>
      <c r="C132" s="79" t="s">
        <v>52</v>
      </c>
      <c r="D132" s="80">
        <v>221</v>
      </c>
      <c r="E132" s="81">
        <v>17074</v>
      </c>
      <c r="F132" s="85">
        <v>75</v>
      </c>
      <c r="G132" s="86">
        <v>503</v>
      </c>
      <c r="H132" s="79" t="s">
        <v>68</v>
      </c>
    </row>
    <row r="133" spans="1:8" ht="13.5">
      <c r="A133" s="83">
        <v>108</v>
      </c>
      <c r="B133" s="83">
        <v>2</v>
      </c>
      <c r="C133" s="82" t="s">
        <v>36</v>
      </c>
      <c r="D133" s="83">
        <v>222</v>
      </c>
      <c r="E133" s="84">
        <v>71771</v>
      </c>
      <c r="F133" s="87">
        <v>25</v>
      </c>
      <c r="G133" s="88">
        <v>521</v>
      </c>
      <c r="H133" s="82" t="s">
        <v>68</v>
      </c>
    </row>
    <row r="134" spans="1:8" ht="13.5">
      <c r="A134" s="80">
        <v>73</v>
      </c>
      <c r="B134" s="80">
        <v>2</v>
      </c>
      <c r="C134" s="79" t="s">
        <v>36</v>
      </c>
      <c r="D134" s="80">
        <v>225</v>
      </c>
      <c r="E134" s="81">
        <v>60848</v>
      </c>
      <c r="F134" s="85">
        <v>10</v>
      </c>
      <c r="G134" s="86">
        <v>617</v>
      </c>
      <c r="H134" s="79" t="s">
        <v>68</v>
      </c>
    </row>
    <row r="135" spans="1:8" ht="13.5">
      <c r="A135" s="83">
        <v>16</v>
      </c>
      <c r="B135" s="83">
        <v>2</v>
      </c>
      <c r="C135" s="82" t="s">
        <v>36</v>
      </c>
      <c r="D135" s="83">
        <v>226</v>
      </c>
      <c r="E135" s="84">
        <v>41703</v>
      </c>
      <c r="F135" s="87">
        <v>25</v>
      </c>
      <c r="G135" s="88">
        <v>338</v>
      </c>
      <c r="H135" s="82" t="s">
        <v>68</v>
      </c>
    </row>
    <row r="136" spans="1:8" ht="13.5">
      <c r="A136" s="80">
        <v>250</v>
      </c>
      <c r="B136" s="80">
        <v>6</v>
      </c>
      <c r="C136" s="79" t="s">
        <v>40</v>
      </c>
      <c r="D136" s="80">
        <v>228</v>
      </c>
      <c r="E136" s="81">
        <v>119113</v>
      </c>
      <c r="F136" s="85">
        <v>100</v>
      </c>
      <c r="G136" s="86">
        <v>486</v>
      </c>
      <c r="H136" s="79" t="s">
        <v>68</v>
      </c>
    </row>
    <row r="137" spans="1:8" ht="13.5">
      <c r="A137" s="83">
        <v>21</v>
      </c>
      <c r="B137" s="83">
        <v>4</v>
      </c>
      <c r="C137" s="82" t="s">
        <v>42</v>
      </c>
      <c r="D137" s="83">
        <v>229</v>
      </c>
      <c r="E137" s="84">
        <v>97939</v>
      </c>
      <c r="F137" s="87">
        <v>100</v>
      </c>
      <c r="G137" s="88">
        <v>657</v>
      </c>
      <c r="H137" s="82" t="s">
        <v>68</v>
      </c>
    </row>
    <row r="138" spans="1:8" ht="13.5">
      <c r="A138" s="80">
        <v>148</v>
      </c>
      <c r="B138" s="80">
        <v>10</v>
      </c>
      <c r="C138" s="79" t="s">
        <v>44</v>
      </c>
      <c r="D138" s="80">
        <v>234</v>
      </c>
      <c r="E138" s="81">
        <v>75118</v>
      </c>
      <c r="F138" s="85">
        <v>100</v>
      </c>
      <c r="G138" s="86">
        <v>695</v>
      </c>
      <c r="H138" s="79" t="s">
        <v>68</v>
      </c>
    </row>
    <row r="139" spans="1:8" ht="13.5">
      <c r="A139" s="83">
        <v>256</v>
      </c>
      <c r="B139" s="83">
        <v>4</v>
      </c>
      <c r="C139" s="82" t="s">
        <v>42</v>
      </c>
      <c r="D139" s="83">
        <v>237</v>
      </c>
      <c r="E139" s="84">
        <v>12959</v>
      </c>
      <c r="F139" s="87">
        <v>10</v>
      </c>
      <c r="G139" s="88">
        <v>648</v>
      </c>
      <c r="H139" s="82" t="s">
        <v>68</v>
      </c>
    </row>
    <row r="140" spans="1:8" ht="13.5">
      <c r="A140" s="80">
        <v>13</v>
      </c>
      <c r="B140" s="80">
        <v>3</v>
      </c>
      <c r="C140" s="79" t="s">
        <v>52</v>
      </c>
      <c r="D140" s="80">
        <v>238</v>
      </c>
      <c r="E140" s="81">
        <v>59648</v>
      </c>
      <c r="F140" s="85">
        <v>50</v>
      </c>
      <c r="G140" s="86">
        <v>543</v>
      </c>
      <c r="H140" s="79" t="s">
        <v>68</v>
      </c>
    </row>
    <row r="141" spans="1:8" ht="13.5">
      <c r="A141" s="83">
        <v>167</v>
      </c>
      <c r="B141" s="83">
        <v>9</v>
      </c>
      <c r="C141" s="82" t="s">
        <v>46</v>
      </c>
      <c r="D141" s="83">
        <v>242</v>
      </c>
      <c r="E141" s="84">
        <v>59112</v>
      </c>
      <c r="F141" s="87">
        <v>100</v>
      </c>
      <c r="G141" s="88">
        <v>338</v>
      </c>
      <c r="H141" s="82" t="s">
        <v>68</v>
      </c>
    </row>
    <row r="142" spans="1:8" ht="13.5">
      <c r="A142" s="80">
        <v>221</v>
      </c>
      <c r="B142" s="80">
        <v>5</v>
      </c>
      <c r="C142" s="79" t="s">
        <v>34</v>
      </c>
      <c r="D142" s="80">
        <v>245</v>
      </c>
      <c r="E142" s="81">
        <v>34084</v>
      </c>
      <c r="F142" s="85">
        <v>100</v>
      </c>
      <c r="G142" s="86">
        <v>324</v>
      </c>
      <c r="H142" s="79" t="s">
        <v>68</v>
      </c>
    </row>
    <row r="143" spans="1:8" ht="13.5">
      <c r="A143" s="83">
        <v>205</v>
      </c>
      <c r="B143" s="83">
        <v>10</v>
      </c>
      <c r="C143" s="82" t="s">
        <v>44</v>
      </c>
      <c r="D143" s="83">
        <v>247</v>
      </c>
      <c r="E143" s="84">
        <v>84010</v>
      </c>
      <c r="F143" s="87">
        <v>50</v>
      </c>
      <c r="G143" s="88">
        <v>536</v>
      </c>
      <c r="H143" s="82" t="s">
        <v>68</v>
      </c>
    </row>
    <row r="144" spans="1:8" ht="13.5">
      <c r="A144" s="80">
        <v>14</v>
      </c>
      <c r="B144" s="80">
        <v>8</v>
      </c>
      <c r="C144" s="79" t="s">
        <v>48</v>
      </c>
      <c r="D144" s="80">
        <v>248</v>
      </c>
      <c r="E144" s="81">
        <v>93083</v>
      </c>
      <c r="F144" s="85">
        <v>10</v>
      </c>
      <c r="G144" s="86">
        <v>464</v>
      </c>
      <c r="H144" s="79" t="s">
        <v>68</v>
      </c>
    </row>
    <row r="145" spans="1:8" ht="13.5">
      <c r="A145" s="83">
        <v>7</v>
      </c>
      <c r="B145" s="83">
        <v>10</v>
      </c>
      <c r="C145" s="82" t="s">
        <v>44</v>
      </c>
      <c r="D145" s="83">
        <v>249</v>
      </c>
      <c r="E145" s="84">
        <v>49472</v>
      </c>
      <c r="F145" s="87">
        <v>75</v>
      </c>
      <c r="G145" s="88">
        <v>731</v>
      </c>
      <c r="H145" s="82" t="s">
        <v>68</v>
      </c>
    </row>
    <row r="146" spans="1:8" ht="13.5">
      <c r="A146" s="80">
        <v>202</v>
      </c>
      <c r="B146" s="80">
        <v>2</v>
      </c>
      <c r="C146" s="79" t="s">
        <v>36</v>
      </c>
      <c r="D146" s="80">
        <v>249</v>
      </c>
      <c r="E146" s="81">
        <v>81467</v>
      </c>
      <c r="F146" s="85">
        <v>100</v>
      </c>
      <c r="G146" s="86">
        <v>264</v>
      </c>
      <c r="H146" s="79" t="s">
        <v>68</v>
      </c>
    </row>
    <row r="147" spans="1:8" ht="13.5">
      <c r="A147" s="83">
        <v>125</v>
      </c>
      <c r="B147" s="83">
        <v>3</v>
      </c>
      <c r="C147" s="82" t="s">
        <v>52</v>
      </c>
      <c r="D147" s="83">
        <v>250</v>
      </c>
      <c r="E147" s="84">
        <v>67648</v>
      </c>
      <c r="F147" s="87">
        <v>75</v>
      </c>
      <c r="G147" s="88">
        <v>340</v>
      </c>
      <c r="H147" s="82" t="s">
        <v>68</v>
      </c>
    </row>
    <row r="148" spans="1:8" ht="13.5">
      <c r="A148" s="80">
        <v>158</v>
      </c>
      <c r="B148" s="80">
        <v>5</v>
      </c>
      <c r="C148" s="79" t="s">
        <v>34</v>
      </c>
      <c r="D148" s="80">
        <v>253</v>
      </c>
      <c r="E148" s="81">
        <v>62921</v>
      </c>
      <c r="F148" s="85">
        <v>75</v>
      </c>
      <c r="G148" s="86">
        <v>625</v>
      </c>
      <c r="H148" s="79" t="s">
        <v>68</v>
      </c>
    </row>
    <row r="149" spans="1:8" ht="13.5">
      <c r="A149" s="83">
        <v>187</v>
      </c>
      <c r="B149" s="83">
        <v>2</v>
      </c>
      <c r="C149" s="82" t="s">
        <v>36</v>
      </c>
      <c r="D149" s="83">
        <v>253</v>
      </c>
      <c r="E149" s="84">
        <v>15872</v>
      </c>
      <c r="F149" s="87">
        <v>100</v>
      </c>
      <c r="G149" s="88">
        <v>243</v>
      </c>
      <c r="H149" s="82" t="s">
        <v>68</v>
      </c>
    </row>
    <row r="150" spans="1:8" ht="13.5">
      <c r="A150" s="80">
        <v>195</v>
      </c>
      <c r="B150" s="80">
        <v>2</v>
      </c>
      <c r="C150" s="79" t="s">
        <v>36</v>
      </c>
      <c r="D150" s="80">
        <v>255</v>
      </c>
      <c r="E150" s="81">
        <v>144044</v>
      </c>
      <c r="F150" s="85">
        <v>100</v>
      </c>
      <c r="G150" s="86">
        <v>688</v>
      </c>
      <c r="H150" s="79" t="s">
        <v>68</v>
      </c>
    </row>
    <row r="151" spans="1:8" ht="13.5">
      <c r="A151" s="83">
        <v>246</v>
      </c>
      <c r="B151" s="83">
        <v>9</v>
      </c>
      <c r="C151" s="82" t="s">
        <v>46</v>
      </c>
      <c r="D151" s="83">
        <v>257</v>
      </c>
      <c r="E151" s="84">
        <v>11260</v>
      </c>
      <c r="F151" s="87">
        <v>100</v>
      </c>
      <c r="G151" s="88">
        <v>513</v>
      </c>
      <c r="H151" s="82" t="s">
        <v>68</v>
      </c>
    </row>
    <row r="152" spans="1:8" ht="13.5">
      <c r="A152" s="80">
        <v>244</v>
      </c>
      <c r="B152" s="80">
        <v>6</v>
      </c>
      <c r="C152" s="79" t="s">
        <v>40</v>
      </c>
      <c r="D152" s="80">
        <v>258</v>
      </c>
      <c r="E152" s="81">
        <v>27505</v>
      </c>
      <c r="F152" s="85">
        <v>50</v>
      </c>
      <c r="G152" s="86">
        <v>366</v>
      </c>
      <c r="H152" s="79" t="s">
        <v>68</v>
      </c>
    </row>
    <row r="153" spans="1:8" ht="13.5">
      <c r="A153" s="83">
        <v>41</v>
      </c>
      <c r="B153" s="83">
        <v>5</v>
      </c>
      <c r="C153" s="82" t="s">
        <v>34</v>
      </c>
      <c r="D153" s="83">
        <v>259</v>
      </c>
      <c r="E153" s="84">
        <v>75318</v>
      </c>
      <c r="F153" s="87">
        <v>100</v>
      </c>
      <c r="G153" s="88">
        <v>319</v>
      </c>
      <c r="H153" s="82" t="s">
        <v>68</v>
      </c>
    </row>
    <row r="154" spans="1:8" ht="13.5">
      <c r="A154" s="80">
        <v>83</v>
      </c>
      <c r="B154" s="80">
        <v>10</v>
      </c>
      <c r="C154" s="79" t="s">
        <v>44</v>
      </c>
      <c r="D154" s="80">
        <v>259</v>
      </c>
      <c r="E154" s="81">
        <v>71007</v>
      </c>
      <c r="F154" s="85">
        <v>100</v>
      </c>
      <c r="G154" s="86">
        <v>498</v>
      </c>
      <c r="H154" s="79" t="s">
        <v>68</v>
      </c>
    </row>
    <row r="155" spans="1:8" ht="13.5">
      <c r="A155" s="83">
        <v>58</v>
      </c>
      <c r="B155" s="83">
        <v>1</v>
      </c>
      <c r="C155" s="82" t="s">
        <v>50</v>
      </c>
      <c r="D155" s="83">
        <v>262</v>
      </c>
      <c r="E155" s="84">
        <v>36780</v>
      </c>
      <c r="F155" s="87">
        <v>50</v>
      </c>
      <c r="G155" s="88">
        <v>647</v>
      </c>
      <c r="H155" s="82" t="s">
        <v>68</v>
      </c>
    </row>
    <row r="156" spans="1:8" ht="13.5">
      <c r="A156" s="80">
        <v>219</v>
      </c>
      <c r="B156" s="80">
        <v>8</v>
      </c>
      <c r="C156" s="79" t="s">
        <v>48</v>
      </c>
      <c r="D156" s="80">
        <v>262</v>
      </c>
      <c r="E156" s="81">
        <v>157323</v>
      </c>
      <c r="F156" s="85">
        <v>75</v>
      </c>
      <c r="G156" s="86">
        <v>418</v>
      </c>
      <c r="H156" s="79" t="s">
        <v>68</v>
      </c>
    </row>
    <row r="157" spans="1:8" ht="13.5">
      <c r="A157" s="83">
        <v>224</v>
      </c>
      <c r="B157" s="83">
        <v>7</v>
      </c>
      <c r="C157" s="82" t="s">
        <v>38</v>
      </c>
      <c r="D157" s="83">
        <v>265</v>
      </c>
      <c r="E157" s="84">
        <v>84209</v>
      </c>
      <c r="F157" s="87">
        <v>100</v>
      </c>
      <c r="G157" s="88">
        <v>381</v>
      </c>
      <c r="H157" s="82" t="s">
        <v>68</v>
      </c>
    </row>
    <row r="158" spans="1:8" ht="13.5">
      <c r="A158" s="80">
        <v>49</v>
      </c>
      <c r="B158" s="80">
        <v>6</v>
      </c>
      <c r="C158" s="79" t="s">
        <v>40</v>
      </c>
      <c r="D158" s="80">
        <v>270</v>
      </c>
      <c r="E158" s="81">
        <v>79413</v>
      </c>
      <c r="F158" s="85">
        <v>10</v>
      </c>
      <c r="G158" s="86">
        <v>318</v>
      </c>
      <c r="H158" s="79" t="s">
        <v>68</v>
      </c>
    </row>
    <row r="159" spans="1:8" ht="13.5">
      <c r="A159" s="83">
        <v>64</v>
      </c>
      <c r="B159" s="83">
        <v>6</v>
      </c>
      <c r="C159" s="82" t="s">
        <v>40</v>
      </c>
      <c r="D159" s="83">
        <v>270</v>
      </c>
      <c r="E159" s="84">
        <v>46311</v>
      </c>
      <c r="F159" s="87">
        <v>25</v>
      </c>
      <c r="G159" s="88">
        <v>632</v>
      </c>
      <c r="H159" s="82" t="s">
        <v>68</v>
      </c>
    </row>
    <row r="160" spans="1:8" ht="13.5">
      <c r="A160" s="80">
        <v>186</v>
      </c>
      <c r="B160" s="80">
        <v>7</v>
      </c>
      <c r="C160" s="79" t="s">
        <v>38</v>
      </c>
      <c r="D160" s="80">
        <v>270</v>
      </c>
      <c r="E160" s="81">
        <v>36363</v>
      </c>
      <c r="F160" s="85">
        <v>100</v>
      </c>
      <c r="G160" s="86">
        <v>235</v>
      </c>
      <c r="H160" s="79" t="s">
        <v>68</v>
      </c>
    </row>
    <row r="161" spans="1:8" ht="13.5">
      <c r="A161" s="83">
        <v>111</v>
      </c>
      <c r="B161" s="83">
        <v>5</v>
      </c>
      <c r="C161" s="82" t="s">
        <v>34</v>
      </c>
      <c r="D161" s="83">
        <v>272</v>
      </c>
      <c r="E161" s="84">
        <v>80239</v>
      </c>
      <c r="F161" s="87">
        <v>10</v>
      </c>
      <c r="G161" s="88">
        <v>490</v>
      </c>
      <c r="H161" s="82" t="s">
        <v>68</v>
      </c>
    </row>
    <row r="162" spans="1:8" ht="13.5">
      <c r="A162" s="80">
        <v>216</v>
      </c>
      <c r="B162" s="80">
        <v>5</v>
      </c>
      <c r="C162" s="79" t="s">
        <v>34</v>
      </c>
      <c r="D162" s="80">
        <v>272</v>
      </c>
      <c r="E162" s="81">
        <v>68281</v>
      </c>
      <c r="F162" s="85">
        <v>25</v>
      </c>
      <c r="G162" s="86">
        <v>314</v>
      </c>
      <c r="H162" s="79" t="s">
        <v>68</v>
      </c>
    </row>
    <row r="163" spans="1:8" ht="13.5">
      <c r="A163" s="83">
        <v>180</v>
      </c>
      <c r="B163" s="83">
        <v>10</v>
      </c>
      <c r="C163" s="82" t="s">
        <v>44</v>
      </c>
      <c r="D163" s="83">
        <v>273</v>
      </c>
      <c r="E163" s="84">
        <v>40621</v>
      </c>
      <c r="F163" s="87">
        <v>50</v>
      </c>
      <c r="G163" s="88">
        <v>764</v>
      </c>
      <c r="H163" s="82" t="s">
        <v>68</v>
      </c>
    </row>
    <row r="164" spans="1:8" ht="13.5">
      <c r="A164" s="80">
        <v>60</v>
      </c>
      <c r="B164" s="80">
        <v>10</v>
      </c>
      <c r="C164" s="79" t="s">
        <v>44</v>
      </c>
      <c r="D164" s="80">
        <v>274</v>
      </c>
      <c r="E164" s="81">
        <v>40888</v>
      </c>
      <c r="F164" s="85">
        <v>25</v>
      </c>
      <c r="G164" s="86">
        <v>740</v>
      </c>
      <c r="H164" s="79" t="s">
        <v>68</v>
      </c>
    </row>
    <row r="165" spans="1:8" ht="13.5">
      <c r="A165" s="83">
        <v>94</v>
      </c>
      <c r="B165" s="83">
        <v>9</v>
      </c>
      <c r="C165" s="82" t="s">
        <v>46</v>
      </c>
      <c r="D165" s="83">
        <v>277</v>
      </c>
      <c r="E165" s="84">
        <v>136978</v>
      </c>
      <c r="F165" s="87">
        <v>25</v>
      </c>
      <c r="G165" s="88">
        <v>702</v>
      </c>
      <c r="H165" s="82" t="s">
        <v>68</v>
      </c>
    </row>
    <row r="166" spans="1:8" ht="13.5">
      <c r="A166" s="80">
        <v>156</v>
      </c>
      <c r="B166" s="80">
        <v>6</v>
      </c>
      <c r="C166" s="79" t="s">
        <v>40</v>
      </c>
      <c r="D166" s="80">
        <v>277</v>
      </c>
      <c r="E166" s="81">
        <v>61818</v>
      </c>
      <c r="F166" s="85">
        <v>25</v>
      </c>
      <c r="G166" s="86">
        <v>246</v>
      </c>
      <c r="H166" s="79" t="s">
        <v>68</v>
      </c>
    </row>
    <row r="167" spans="1:8" ht="13.5">
      <c r="A167" s="83">
        <v>239</v>
      </c>
      <c r="B167" s="83">
        <v>2</v>
      </c>
      <c r="C167" s="82" t="s">
        <v>36</v>
      </c>
      <c r="D167" s="83">
        <v>279</v>
      </c>
      <c r="E167" s="84">
        <v>98591</v>
      </c>
      <c r="F167" s="87">
        <v>100</v>
      </c>
      <c r="G167" s="88">
        <v>456</v>
      </c>
      <c r="H167" s="82" t="s">
        <v>68</v>
      </c>
    </row>
    <row r="168" spans="1:8" ht="13.5">
      <c r="A168" s="80">
        <v>175</v>
      </c>
      <c r="B168" s="80">
        <v>8</v>
      </c>
      <c r="C168" s="79" t="s">
        <v>48</v>
      </c>
      <c r="D168" s="80">
        <v>282</v>
      </c>
      <c r="E168" s="81">
        <v>42281</v>
      </c>
      <c r="F168" s="85">
        <v>25</v>
      </c>
      <c r="G168" s="86">
        <v>533</v>
      </c>
      <c r="H168" s="79" t="s">
        <v>68</v>
      </c>
    </row>
    <row r="169" spans="1:8" ht="13.5">
      <c r="A169" s="83">
        <v>28</v>
      </c>
      <c r="B169" s="83">
        <v>1</v>
      </c>
      <c r="C169" s="82" t="s">
        <v>50</v>
      </c>
      <c r="D169" s="83">
        <v>283</v>
      </c>
      <c r="E169" s="84">
        <v>97568</v>
      </c>
      <c r="F169" s="87">
        <v>100</v>
      </c>
      <c r="G169" s="88">
        <v>758</v>
      </c>
      <c r="H169" s="82" t="s">
        <v>68</v>
      </c>
    </row>
    <row r="170" spans="1:8" ht="13.5">
      <c r="A170" s="80">
        <v>8</v>
      </c>
      <c r="B170" s="80">
        <v>9</v>
      </c>
      <c r="C170" s="79" t="s">
        <v>46</v>
      </c>
      <c r="D170" s="80">
        <v>286</v>
      </c>
      <c r="E170" s="81">
        <v>76852</v>
      </c>
      <c r="F170" s="85">
        <v>50</v>
      </c>
      <c r="G170" s="86">
        <v>484</v>
      </c>
      <c r="H170" s="79" t="s">
        <v>68</v>
      </c>
    </row>
    <row r="171" spans="1:8" ht="13.5">
      <c r="A171" s="83">
        <v>30</v>
      </c>
      <c r="B171" s="83">
        <v>1</v>
      </c>
      <c r="C171" s="82" t="s">
        <v>50</v>
      </c>
      <c r="D171" s="83">
        <v>286</v>
      </c>
      <c r="E171" s="84">
        <v>15376</v>
      </c>
      <c r="F171" s="87">
        <v>25</v>
      </c>
      <c r="G171" s="88">
        <v>233</v>
      </c>
      <c r="H171" s="82" t="s">
        <v>68</v>
      </c>
    </row>
    <row r="172" spans="1:8" ht="13.5">
      <c r="A172" s="80">
        <v>146</v>
      </c>
      <c r="B172" s="80">
        <v>9</v>
      </c>
      <c r="C172" s="79" t="s">
        <v>46</v>
      </c>
      <c r="D172" s="80">
        <v>286</v>
      </c>
      <c r="E172" s="81">
        <v>90845</v>
      </c>
      <c r="F172" s="85">
        <v>10</v>
      </c>
      <c r="G172" s="86">
        <v>671</v>
      </c>
      <c r="H172" s="79" t="s">
        <v>68</v>
      </c>
    </row>
    <row r="173" spans="1:8" ht="13.5">
      <c r="A173" s="83">
        <v>236</v>
      </c>
      <c r="B173" s="83">
        <v>9</v>
      </c>
      <c r="C173" s="82" t="s">
        <v>46</v>
      </c>
      <c r="D173" s="83">
        <v>290</v>
      </c>
      <c r="E173" s="84">
        <v>99543</v>
      </c>
      <c r="F173" s="87">
        <v>25</v>
      </c>
      <c r="G173" s="88">
        <v>317</v>
      </c>
      <c r="H173" s="82" t="s">
        <v>68</v>
      </c>
    </row>
    <row r="174" spans="1:8" ht="13.5">
      <c r="A174" s="80">
        <v>255</v>
      </c>
      <c r="B174" s="80">
        <v>6</v>
      </c>
      <c r="C174" s="79" t="s">
        <v>40</v>
      </c>
      <c r="D174" s="80">
        <v>290</v>
      </c>
      <c r="E174" s="81">
        <v>86810</v>
      </c>
      <c r="F174" s="85">
        <v>25</v>
      </c>
      <c r="G174" s="86">
        <v>492</v>
      </c>
      <c r="H174" s="79" t="s">
        <v>68</v>
      </c>
    </row>
    <row r="175" spans="1:8" ht="13.5">
      <c r="A175" s="83">
        <v>22</v>
      </c>
      <c r="B175" s="83">
        <v>9</v>
      </c>
      <c r="C175" s="82" t="s">
        <v>46</v>
      </c>
      <c r="D175" s="83">
        <v>291</v>
      </c>
      <c r="E175" s="84">
        <v>96130</v>
      </c>
      <c r="F175" s="87">
        <v>75</v>
      </c>
      <c r="G175" s="88">
        <v>579</v>
      </c>
      <c r="H175" s="82" t="s">
        <v>68</v>
      </c>
    </row>
    <row r="176" spans="1:8" ht="13.5">
      <c r="A176" s="80">
        <v>251</v>
      </c>
      <c r="B176" s="80">
        <v>6</v>
      </c>
      <c r="C176" s="79" t="s">
        <v>40</v>
      </c>
      <c r="D176" s="80">
        <v>293</v>
      </c>
      <c r="E176" s="81">
        <v>48650</v>
      </c>
      <c r="F176" s="85">
        <v>75</v>
      </c>
      <c r="G176" s="86">
        <v>545</v>
      </c>
      <c r="H176" s="79" t="s">
        <v>68</v>
      </c>
    </row>
    <row r="177" spans="1:8" ht="13.5">
      <c r="A177" s="83">
        <v>77</v>
      </c>
      <c r="B177" s="83">
        <v>6</v>
      </c>
      <c r="C177" s="82" t="s">
        <v>40</v>
      </c>
      <c r="D177" s="83">
        <v>298</v>
      </c>
      <c r="E177" s="84">
        <v>41162</v>
      </c>
      <c r="F177" s="87">
        <v>75</v>
      </c>
      <c r="G177" s="88">
        <v>598</v>
      </c>
      <c r="H177" s="82" t="s">
        <v>68</v>
      </c>
    </row>
  </sheetData>
  <pageMargins left="0" right="0" top="0" bottom="0" header="0" footer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1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outlineLevelCol="1"/>
  <cols>
    <col min="1" max="1" width="25.7109375" customWidth="1"/>
    <col min="2" max="6" width="21.85546875" customWidth="1"/>
    <col min="8" max="11" width="12.5703125" outlineLevel="1"/>
  </cols>
  <sheetData>
    <row r="1" spans="1:11" ht="30" customHeight="1">
      <c r="A1" s="92" t="s">
        <v>69</v>
      </c>
      <c r="B1" s="92" t="s">
        <v>70</v>
      </c>
      <c r="C1" s="92" t="s">
        <v>71</v>
      </c>
      <c r="D1" s="92" t="s">
        <v>72</v>
      </c>
      <c r="E1" s="92" t="s">
        <v>73</v>
      </c>
      <c r="F1" s="93" t="s">
        <v>74</v>
      </c>
      <c r="H1" t="s">
        <v>4</v>
      </c>
      <c r="I1" t="s">
        <v>75</v>
      </c>
      <c r="J1" t="s">
        <v>76</v>
      </c>
      <c r="K1" t="s">
        <v>77</v>
      </c>
    </row>
    <row r="2" spans="1:11" ht="24" customHeight="1">
      <c r="A2" s="94" t="s">
        <v>9</v>
      </c>
      <c r="B2" s="95">
        <v>78</v>
      </c>
      <c r="C2" s="95">
        <v>22</v>
      </c>
      <c r="D2" s="95">
        <v>45</v>
      </c>
      <c r="E2" s="95">
        <v>30</v>
      </c>
      <c r="F2" s="96">
        <f>B2-C2</f>
        <v>56</v>
      </c>
      <c r="H2" t="s">
        <v>9</v>
      </c>
      <c r="I2">
        <v>22</v>
      </c>
      <c r="J2">
        <v>45</v>
      </c>
      <c r="K2">
        <v>78</v>
      </c>
    </row>
    <row r="3" spans="1:11" ht="24" customHeight="1">
      <c r="A3" s="97" t="s">
        <v>11</v>
      </c>
      <c r="B3" s="98">
        <v>90</v>
      </c>
      <c r="C3" s="98">
        <v>21</v>
      </c>
      <c r="D3" s="98">
        <v>47</v>
      </c>
      <c r="E3" s="98">
        <v>42</v>
      </c>
      <c r="F3" s="99">
        <f>B3-C3</f>
        <v>69</v>
      </c>
      <c r="H3" t="s">
        <v>11</v>
      </c>
      <c r="I3">
        <v>21</v>
      </c>
      <c r="J3">
        <v>47</v>
      </c>
      <c r="K3">
        <v>90</v>
      </c>
    </row>
    <row r="4" spans="1:11" ht="24" customHeight="1">
      <c r="A4" s="100" t="s">
        <v>8</v>
      </c>
      <c r="B4" s="101">
        <v>80</v>
      </c>
      <c r="C4" s="101">
        <v>20</v>
      </c>
      <c r="D4" s="101">
        <v>46</v>
      </c>
      <c r="E4" s="101">
        <v>27</v>
      </c>
      <c r="F4" s="102">
        <f>B4-C4</f>
        <v>60</v>
      </c>
      <c r="H4" t="s">
        <v>8</v>
      </c>
      <c r="I4">
        <v>20</v>
      </c>
      <c r="J4">
        <v>46</v>
      </c>
      <c r="K4">
        <v>80</v>
      </c>
    </row>
    <row r="5" spans="1:11" ht="24" customHeight="1">
      <c r="A5" s="97" t="s">
        <v>10</v>
      </c>
      <c r="B5" s="98">
        <v>89</v>
      </c>
      <c r="C5" s="98">
        <v>20</v>
      </c>
      <c r="D5" s="98">
        <v>47</v>
      </c>
      <c r="E5" s="98">
        <v>58</v>
      </c>
      <c r="F5" s="99">
        <f>B5-C5</f>
        <v>69</v>
      </c>
      <c r="H5" t="s">
        <v>10</v>
      </c>
      <c r="I5">
        <v>20</v>
      </c>
      <c r="J5">
        <v>47</v>
      </c>
      <c r="K5">
        <v>89</v>
      </c>
    </row>
    <row r="6" spans="1:11" ht="26.25" customHeight="1">
      <c r="A6" s="103" t="s">
        <v>78</v>
      </c>
      <c r="B6" s="104">
        <f>AVERAGE(B2:B5)</f>
        <v>84.25</v>
      </c>
      <c r="C6" s="104">
        <f>AVERAGE(C2:C5)</f>
        <v>20.75</v>
      </c>
      <c r="D6" s="104">
        <f>AVERAGE(D2:D5)</f>
        <v>46.25</v>
      </c>
      <c r="E6" s="105">
        <f>SUM(E2:E5)</f>
        <v>157</v>
      </c>
      <c r="F6" s="106">
        <f>AVERAGE(F2:F5)</f>
        <v>63.5</v>
      </c>
    </row>
    <row r="7" spans="1:11" ht="15.75" customHeight="1">
      <c r="H7" t="s">
        <v>4</v>
      </c>
      <c r="I7" t="s">
        <v>73</v>
      </c>
    </row>
    <row r="8" spans="1:11" ht="15.75" customHeight="1">
      <c r="H8" t="s">
        <v>10</v>
      </c>
      <c r="I8">
        <v>58</v>
      </c>
    </row>
    <row r="9" spans="1:11" ht="15.75" customHeight="1">
      <c r="H9" t="s">
        <v>11</v>
      </c>
      <c r="I9">
        <v>42</v>
      </c>
    </row>
    <row r="10" spans="1:11" ht="15.75" customHeight="1">
      <c r="H10" t="s">
        <v>9</v>
      </c>
      <c r="I10">
        <v>30</v>
      </c>
    </row>
    <row r="11" spans="1:11" ht="15.75" customHeight="1">
      <c r="H11" t="s">
        <v>8</v>
      </c>
      <c r="I11">
        <v>27</v>
      </c>
    </row>
  </sheetData>
  <conditionalFormatting sqref="D2:D5">
    <cfRule type="colorScale" priority="1">
      <colorScale>
        <cfvo type="min"/>
        <cfvo type="max"/>
        <color rgb="FF4CAF50"/>
        <color rgb="FFFF5722"/>
      </colorScale>
    </cfRule>
  </conditionalFormatting>
  <conditionalFormatting sqref="E2:E5">
    <cfRule type="colorScale" priority="2">
      <colorScale>
        <cfvo type="min"/>
        <cfvo type="max"/>
        <color rgb="FFFFCDD2"/>
        <color rgb="FF4CAF50"/>
      </colorScale>
    </cfRule>
  </conditionalFormatting>
  <conditionalFormatting sqref="F2:F5">
    <cfRule type="colorScale" priority="3">
      <colorScale>
        <cfvo type="min"/>
        <cfvo type="max"/>
        <color rgb="FF4CAF50"/>
        <color rgb="FFFF5722"/>
      </colorScale>
    </cfRule>
  </conditionalFormatting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2026-03-06T03:54:30Z</dcterms:created>
  <dcterms:modified xsi:type="dcterms:W3CDTF">2026-03-06T03:54:30Z</dcterms:modified>
  <cp:category/>
  <cp:contentStatus/>
</cp:coreProperties>
</file>